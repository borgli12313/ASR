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0" yWindow="60" windowWidth="20730" windowHeight="11700" tabRatio="500"/>
  </bookViews>
  <sheets>
    <sheet name="Main" sheetId="1" r:id="rId1"/>
    <sheet name="TimeOut" sheetId="3" r:id="rId2"/>
    <sheet name="VLOOKUP" sheetId="2" r:id="rId3"/>
    <sheet name="TimeIn" sheetId="4" r:id="rId4"/>
    <sheet name="MAP" sheetId="5" r:id="rId5"/>
    <sheet name="Sheet2" sheetId="6" r:id="rId6"/>
  </sheets>
  <definedNames>
    <definedName name="_xlnm._FilterDatabase" localSheetId="4" hidden="1">MAP!$A$1:$GI$197</definedName>
    <definedName name="_xlnm._FilterDatabase" localSheetId="3" hidden="1">TimeIn!$A$1:$E$193</definedName>
    <definedName name="_xlnm._FilterDatabase" localSheetId="1" hidden="1">TimeOut!$A$1:$E$91</definedName>
  </definedNames>
  <calcPr calcId="145621"/>
  <pivotCaches>
    <pivotCache cacheId="32" r:id="rId7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7" i="5" l="1"/>
  <c r="G17" i="5"/>
  <c r="G18" i="5"/>
  <c r="G19" i="5"/>
  <c r="G16" i="5"/>
  <c r="H10" i="6"/>
  <c r="G10" i="6"/>
  <c r="F7" i="6"/>
  <c r="F8" i="6"/>
  <c r="F9" i="6"/>
  <c r="F6" i="6"/>
  <c r="D10" i="6"/>
  <c r="E10" i="6"/>
  <c r="D7" i="6"/>
  <c r="D8" i="6"/>
  <c r="D9" i="6"/>
  <c r="D6" i="6"/>
  <c r="C10" i="6"/>
  <c r="F10" i="6" l="1"/>
  <c r="D3" i="5" l="1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2" i="5"/>
  <c r="B189" i="5" l="1"/>
  <c r="B188" i="5"/>
  <c r="B187" i="5"/>
  <c r="B186" i="5"/>
  <c r="B185" i="5"/>
  <c r="B184" i="5"/>
  <c r="B101" i="5"/>
  <c r="B100" i="5"/>
  <c r="B99" i="5"/>
  <c r="B183" i="5"/>
  <c r="B182" i="5"/>
  <c r="B181" i="5"/>
  <c r="B180" i="5"/>
  <c r="B179" i="5"/>
  <c r="B178" i="5"/>
  <c r="B177" i="5"/>
  <c r="B98" i="5"/>
  <c r="B96" i="5"/>
  <c r="B95" i="5"/>
  <c r="B94" i="5"/>
  <c r="B93" i="5"/>
  <c r="B176" i="5"/>
  <c r="B92" i="5"/>
  <c r="B175" i="5"/>
  <c r="B91" i="5"/>
  <c r="B90" i="5"/>
  <c r="B89" i="5"/>
  <c r="B174" i="5"/>
  <c r="B88" i="5"/>
  <c r="B173" i="5"/>
  <c r="B172" i="5"/>
  <c r="B87" i="5"/>
  <c r="B171" i="5"/>
  <c r="B170" i="5"/>
  <c r="B86" i="5"/>
  <c r="B85" i="5"/>
  <c r="B84" i="5"/>
  <c r="B83" i="5"/>
  <c r="B169" i="5"/>
  <c r="B168" i="5"/>
  <c r="B167" i="5"/>
  <c r="B82" i="5"/>
  <c r="B81" i="5"/>
  <c r="B80" i="5"/>
  <c r="B79" i="5"/>
  <c r="B78" i="5"/>
  <c r="B77" i="5"/>
  <c r="B76" i="5"/>
  <c r="B75" i="5"/>
  <c r="B166" i="5"/>
  <c r="B74" i="5"/>
  <c r="B73" i="5"/>
  <c r="B72" i="5"/>
  <c r="B71" i="5"/>
  <c r="B70" i="5"/>
  <c r="B165" i="5"/>
  <c r="B164" i="5"/>
  <c r="B163" i="5"/>
  <c r="B162" i="5"/>
  <c r="B69" i="5"/>
  <c r="B68" i="5"/>
  <c r="B67" i="5"/>
  <c r="B161" i="5"/>
  <c r="B66" i="5"/>
  <c r="B65" i="5"/>
  <c r="B64" i="5"/>
  <c r="B63" i="5"/>
  <c r="B62" i="5"/>
  <c r="B160" i="5"/>
  <c r="B159" i="5"/>
  <c r="B158" i="5"/>
  <c r="B61" i="5"/>
  <c r="B60" i="5"/>
  <c r="B59" i="5"/>
  <c r="B157" i="5"/>
  <c r="B156" i="5"/>
  <c r="B155" i="5"/>
  <c r="B58" i="5"/>
  <c r="B57" i="5"/>
  <c r="B56" i="5"/>
  <c r="B154" i="5"/>
  <c r="B153" i="5"/>
  <c r="B152" i="5"/>
  <c r="B55" i="5"/>
  <c r="B54" i="5"/>
  <c r="B53" i="5"/>
  <c r="B52" i="5"/>
  <c r="B151" i="5"/>
  <c r="B51" i="5"/>
  <c r="B50" i="5"/>
  <c r="B49" i="5"/>
  <c r="B48" i="5"/>
  <c r="B150" i="5"/>
  <c r="B149" i="5"/>
  <c r="B148" i="5"/>
  <c r="B47" i="5"/>
  <c r="B46" i="5"/>
  <c r="B45" i="5"/>
  <c r="B147" i="5"/>
  <c r="B146" i="5"/>
  <c r="B145" i="5"/>
  <c r="B44" i="5"/>
  <c r="B43" i="5"/>
  <c r="B144" i="5"/>
  <c r="B143" i="5"/>
  <c r="B142" i="5"/>
  <c r="B141" i="5"/>
  <c r="B140" i="5"/>
  <c r="B42" i="5"/>
  <c r="B41" i="5"/>
  <c r="B139" i="5"/>
  <c r="B138" i="5"/>
  <c r="B137" i="5"/>
  <c r="B40" i="5"/>
  <c r="B39" i="5"/>
  <c r="B136" i="5"/>
  <c r="B135" i="5"/>
  <c r="B134" i="5"/>
  <c r="B38" i="5"/>
  <c r="B37" i="5"/>
  <c r="B36" i="5"/>
  <c r="B133" i="5"/>
  <c r="B132" i="5"/>
  <c r="B35" i="5"/>
  <c r="B34" i="5"/>
  <c r="B33" i="5"/>
  <c r="B131" i="5"/>
  <c r="B32" i="5"/>
  <c r="B130" i="5"/>
  <c r="B129" i="5"/>
  <c r="B128" i="5"/>
  <c r="B31" i="5"/>
  <c r="B127" i="5"/>
  <c r="B30" i="5"/>
  <c r="B126" i="5"/>
  <c r="B29" i="5"/>
  <c r="B28" i="5"/>
  <c r="B125" i="5"/>
  <c r="B124" i="5"/>
  <c r="B123" i="5"/>
  <c r="B122" i="5"/>
  <c r="B121" i="5"/>
  <c r="B120" i="5"/>
  <c r="B119" i="5"/>
  <c r="B118" i="5"/>
  <c r="B117" i="5"/>
  <c r="B116" i="5"/>
  <c r="B115" i="5"/>
  <c r="B27" i="5"/>
  <c r="B114" i="5"/>
  <c r="B26" i="5"/>
  <c r="B113" i="5"/>
  <c r="B112" i="5"/>
  <c r="B25" i="5"/>
  <c r="B24" i="5"/>
  <c r="B23" i="5"/>
  <c r="B22" i="5"/>
  <c r="B21" i="5"/>
  <c r="B20" i="5"/>
  <c r="B111" i="5"/>
  <c r="B19" i="5"/>
  <c r="B18" i="5"/>
  <c r="B110" i="5"/>
  <c r="B17" i="5"/>
  <c r="B109" i="5"/>
  <c r="B108" i="5"/>
  <c r="B16" i="5"/>
  <c r="B107" i="5"/>
  <c r="B15" i="5"/>
  <c r="B14" i="5"/>
  <c r="B106" i="5"/>
  <c r="B105" i="5"/>
  <c r="B13" i="5"/>
  <c r="B12" i="5"/>
  <c r="B11" i="5"/>
  <c r="B10" i="5"/>
  <c r="B104" i="5"/>
  <c r="B103" i="5"/>
  <c r="B9" i="5"/>
  <c r="B8" i="5"/>
  <c r="B7" i="5"/>
  <c r="B102" i="5"/>
  <c r="B6" i="5"/>
  <c r="B5" i="5"/>
  <c r="B4" i="5"/>
  <c r="B3" i="5"/>
  <c r="B2" i="5"/>
  <c r="B190" i="5"/>
</calcChain>
</file>

<file path=xl/sharedStrings.xml><?xml version="1.0" encoding="utf-8"?>
<sst xmlns="http://schemas.openxmlformats.org/spreadsheetml/2006/main" count="1257" uniqueCount="291">
  <si>
    <t>Employee ID</t>
  </si>
  <si>
    <t>Name</t>
  </si>
  <si>
    <t>Time Out</t>
  </si>
  <si>
    <t>Time In</t>
  </si>
  <si>
    <t>SLoc</t>
  </si>
  <si>
    <t>Song Chee Haw</t>
  </si>
  <si>
    <t>Chin Sum Tong</t>
  </si>
  <si>
    <t>Low Mong Seng</t>
  </si>
  <si>
    <t>Leon Liok Kun</t>
  </si>
  <si>
    <t>Lee Mei Teng (Niki)</t>
  </si>
  <si>
    <t>The Yen Mui</t>
  </si>
  <si>
    <t>Ng Hwee Nee</t>
  </si>
  <si>
    <t>Alex Yau Shun Ran</t>
  </si>
  <si>
    <t xml:space="preserve">Loo Wai Meng </t>
  </si>
  <si>
    <t>Loh Shuang Jian</t>
  </si>
  <si>
    <t>Chin Kah Loke</t>
  </si>
  <si>
    <t>Tan Jin Koon</t>
  </si>
  <si>
    <t>Mogana</t>
  </si>
  <si>
    <t>Wang Xiaobing</t>
  </si>
  <si>
    <t>Logentheraan</t>
  </si>
  <si>
    <t>Tan Tor Kong</t>
  </si>
  <si>
    <t>Tan Ah Hoon</t>
  </si>
  <si>
    <t xml:space="preserve">Masagoes Daud </t>
  </si>
  <si>
    <t>Ng Guek Kwee</t>
  </si>
  <si>
    <t>Ng Hang Lye</t>
  </si>
  <si>
    <t>Tan Beng Choo</t>
  </si>
  <si>
    <t>Ong Joo Chye</t>
  </si>
  <si>
    <t>Leow Kong Yuen</t>
  </si>
  <si>
    <t>Lee Kam Wai</t>
  </si>
  <si>
    <t>Tan Poh Ling</t>
  </si>
  <si>
    <t>Chia See Bin</t>
  </si>
  <si>
    <t>Tee Bee Ling</t>
  </si>
  <si>
    <t>Ng Li chung</t>
  </si>
  <si>
    <t>Tan Soi Kim (Wendy)</t>
  </si>
  <si>
    <t>Md Ridwan</t>
  </si>
  <si>
    <t xml:space="preserve">Foong Weng Kong </t>
  </si>
  <si>
    <t>Chen Benlong</t>
  </si>
  <si>
    <t>Tai Chee Sien</t>
  </si>
  <si>
    <t>Wong Yong King</t>
  </si>
  <si>
    <t>Shi Yong Wei</t>
  </si>
  <si>
    <t>Chong Mun Seng</t>
  </si>
  <si>
    <t>Choo Jian Wen</t>
  </si>
  <si>
    <t>Yan Yang</t>
  </si>
  <si>
    <t>Benjamin Chen Chee Wee</t>
  </si>
  <si>
    <t>Law Kim Hee</t>
  </si>
  <si>
    <t>Song Chee Jie</t>
  </si>
  <si>
    <t>Ng Chit Hong</t>
  </si>
  <si>
    <t>Kwek Jin Yin</t>
  </si>
  <si>
    <t>Choo Bee Hiang Lily</t>
  </si>
  <si>
    <t>Ng Shun Wei</t>
  </si>
  <si>
    <t>Wong Wei Yao</t>
  </si>
  <si>
    <t>Cheng Zi Chuan</t>
  </si>
  <si>
    <t>Poh Ah Yew</t>
  </si>
  <si>
    <t>Kong Shao Wei</t>
  </si>
  <si>
    <t>Lai Suk Lian</t>
  </si>
  <si>
    <t>Parimala</t>
  </si>
  <si>
    <t>Yap On Yee</t>
  </si>
  <si>
    <t>Yang Pei Luan</t>
  </si>
  <si>
    <t xml:space="preserve">Noor Mohamed </t>
  </si>
  <si>
    <t>Zhou Gui Cui</t>
  </si>
  <si>
    <t>Lim Teck Lye</t>
  </si>
  <si>
    <t>Fang Yi</t>
  </si>
  <si>
    <t>Lee Chen Di</t>
  </si>
  <si>
    <t>Pang Wooi Seng</t>
  </si>
  <si>
    <t>Nicole</t>
  </si>
  <si>
    <t>Lim Chin Hua</t>
  </si>
  <si>
    <t>Noorjahan  Rayman</t>
  </si>
  <si>
    <t>Masagoes Daud (In Gp 05)</t>
  </si>
  <si>
    <t xml:space="preserve">Su Xiaolong </t>
  </si>
  <si>
    <t>Tan Lee Hong</t>
  </si>
  <si>
    <t>Chan Kam Ming</t>
  </si>
  <si>
    <t>Thomas Lim Kah Chun</t>
  </si>
  <si>
    <t>Lee Zheng Yi</t>
  </si>
  <si>
    <t>Adnan B.Pakki</t>
  </si>
  <si>
    <t>Pang Wooi Siong</t>
  </si>
  <si>
    <t>Andrew Chua Boon Leng</t>
  </si>
  <si>
    <t>26-ODD-B</t>
  </si>
  <si>
    <t>35-ODD-C</t>
  </si>
  <si>
    <t>27-EVEN-K</t>
  </si>
  <si>
    <t>23-ODD-G</t>
  </si>
  <si>
    <t>22-EVEN-C</t>
  </si>
  <si>
    <t>24-ODD-K</t>
  </si>
  <si>
    <t>31-EVEN-B</t>
  </si>
  <si>
    <t>40-EVEN-K</t>
  </si>
  <si>
    <t>34-ODD-B</t>
  </si>
  <si>
    <t>29-EVEN-B</t>
  </si>
  <si>
    <t>31-ODD-B</t>
  </si>
  <si>
    <t>33-EVEN-B</t>
  </si>
  <si>
    <t>32-ODD-B</t>
  </si>
  <si>
    <t>32-EVEN-B</t>
  </si>
  <si>
    <t>68-EVEN-K</t>
  </si>
  <si>
    <t>29-EVEN-A</t>
  </si>
  <si>
    <t>26-EVEN-B</t>
  </si>
  <si>
    <t>29-ODD-A</t>
  </si>
  <si>
    <t>26-ODD-C</t>
  </si>
  <si>
    <t>31-ODD-D</t>
  </si>
  <si>
    <t>31-ODD-G</t>
  </si>
  <si>
    <t>34-ODD-C</t>
  </si>
  <si>
    <t>29-EVEN-C</t>
  </si>
  <si>
    <t>24-EVEN-G</t>
  </si>
  <si>
    <t>69-EVEN-D</t>
  </si>
  <si>
    <t>25-EVEN-K</t>
  </si>
  <si>
    <t>69-ODD-D</t>
  </si>
  <si>
    <t>33-EVEN-C</t>
  </si>
  <si>
    <t>32-EVEN-C</t>
  </si>
  <si>
    <t>32-ODD-C</t>
  </si>
  <si>
    <t>69-EVEN-K</t>
  </si>
  <si>
    <t>29-ODD-C</t>
  </si>
  <si>
    <t>23-ODD-C</t>
  </si>
  <si>
    <t>23-EVEN-C</t>
  </si>
  <si>
    <t>68-EVEN-U</t>
  </si>
  <si>
    <t>CountBook</t>
  </si>
  <si>
    <t>21-EVEN-D</t>
  </si>
  <si>
    <t>21-ODD-C</t>
  </si>
  <si>
    <t>21-ODD-D</t>
  </si>
  <si>
    <t>21-ODD-G</t>
  </si>
  <si>
    <t>21-ODD-K</t>
  </si>
  <si>
    <t>22-EVEN-D</t>
  </si>
  <si>
    <t>22-EVEN-G</t>
  </si>
  <si>
    <t>22-EVEN-K</t>
  </si>
  <si>
    <t>22-ODD-C</t>
  </si>
  <si>
    <t>23-EVEN-D</t>
  </si>
  <si>
    <t>23-EVEN-G</t>
  </si>
  <si>
    <t>23-EVEN-K</t>
  </si>
  <si>
    <t>23-ODD-D</t>
  </si>
  <si>
    <t>23-ODD-K</t>
  </si>
  <si>
    <t>24-EVEN-C</t>
  </si>
  <si>
    <t>24-EVEN-D</t>
  </si>
  <si>
    <t>24-EVEN-K</t>
  </si>
  <si>
    <t>24-ODD-C</t>
  </si>
  <si>
    <t>24-ODD-D</t>
  </si>
  <si>
    <t>24-ODD-G</t>
  </si>
  <si>
    <t>25-EVEN-C</t>
  </si>
  <si>
    <t>25-EVEN-D</t>
  </si>
  <si>
    <t>25-EVEN-G</t>
  </si>
  <si>
    <t>25-ODD-C</t>
  </si>
  <si>
    <t>25-ODD-D</t>
  </si>
  <si>
    <t>25-ODD-G</t>
  </si>
  <si>
    <t>25-ODD-K</t>
  </si>
  <si>
    <t>26-EVEN-A</t>
  </si>
  <si>
    <t>26-EVEN-C</t>
  </si>
  <si>
    <t>26-EVEN-D</t>
  </si>
  <si>
    <t>26-EVEN-G</t>
  </si>
  <si>
    <t>26-EVEN-K</t>
  </si>
  <si>
    <t>26-ODD-A</t>
  </si>
  <si>
    <t>26-ODD-D</t>
  </si>
  <si>
    <t>26-ODD-G</t>
  </si>
  <si>
    <t>26-ODD-K</t>
  </si>
  <si>
    <t>27-EVEN-A</t>
  </si>
  <si>
    <t>27-EVEN-B</t>
  </si>
  <si>
    <t>27-EVEN-C</t>
  </si>
  <si>
    <t>27-EVEN-D</t>
  </si>
  <si>
    <t>27-EVEN-G</t>
  </si>
  <si>
    <t>27-ODD-A</t>
  </si>
  <si>
    <t>27-ODD-B</t>
  </si>
  <si>
    <t>27-ODD-C</t>
  </si>
  <si>
    <t>27-ODD-D</t>
  </si>
  <si>
    <t>27-ODD-G</t>
  </si>
  <si>
    <t>27-ODD-K</t>
  </si>
  <si>
    <t>28-EVEN-A</t>
  </si>
  <si>
    <t>28-EVEN-B</t>
  </si>
  <si>
    <t>28-EVEN-C</t>
  </si>
  <si>
    <t>28-EVEN-D</t>
  </si>
  <si>
    <t>28-EVEN-G</t>
  </si>
  <si>
    <t>28-EVEN-K</t>
  </si>
  <si>
    <t>28-ODD-A</t>
  </si>
  <si>
    <t>28-ODD-B</t>
  </si>
  <si>
    <t>28-ODD-C</t>
  </si>
  <si>
    <t>28-ODD-D</t>
  </si>
  <si>
    <t>28-ODD-G</t>
  </si>
  <si>
    <t>28-ODD-K</t>
  </si>
  <si>
    <t>29-EVEN-D</t>
  </si>
  <si>
    <t>29-EVEN-G</t>
  </si>
  <si>
    <t>29-EVEN-K</t>
  </si>
  <si>
    <t>29-ODD-B</t>
  </si>
  <si>
    <t>29-ODD-D</t>
  </si>
  <si>
    <t>29-ODD-G</t>
  </si>
  <si>
    <t>29-ODD-K</t>
  </si>
  <si>
    <t>30-EVEN-A</t>
  </si>
  <si>
    <t>30-EVEN-B</t>
  </si>
  <si>
    <t>30-EVEN-C</t>
  </si>
  <si>
    <t>30-EVEN-D</t>
  </si>
  <si>
    <t>30-EVEN-G</t>
  </si>
  <si>
    <t>30-EVEN-K</t>
  </si>
  <si>
    <t>30-ODD-A</t>
  </si>
  <si>
    <t>30-ODD-B</t>
  </si>
  <si>
    <t>30-ODD-C</t>
  </si>
  <si>
    <t>30-ODD-D</t>
  </si>
  <si>
    <t>30-ODD-G</t>
  </si>
  <si>
    <t>30-ODD-K</t>
  </si>
  <si>
    <t>31-EVEN-A</t>
  </si>
  <si>
    <t>31-EVEN-C</t>
  </si>
  <si>
    <t>31-EVEN-D</t>
  </si>
  <si>
    <t>31-EVEN-G</t>
  </si>
  <si>
    <t>31-EVEN-K</t>
  </si>
  <si>
    <t>31-ODD-A</t>
  </si>
  <si>
    <t>31-ODD-C</t>
  </si>
  <si>
    <t>31-ODD-K</t>
  </si>
  <si>
    <t>32-EVEN-A</t>
  </si>
  <si>
    <t>32-EVEN-D</t>
  </si>
  <si>
    <t>32-EVEN-G</t>
  </si>
  <si>
    <t>32-EVEN-K</t>
  </si>
  <si>
    <t>32-ODD-A</t>
  </si>
  <si>
    <t>32-ODD-D</t>
  </si>
  <si>
    <t>32-ODD-G</t>
  </si>
  <si>
    <t>33-EVEN-A</t>
  </si>
  <si>
    <t>33-EVEN-D</t>
  </si>
  <si>
    <t>33-EVEN-G</t>
  </si>
  <si>
    <t>33-EVEN-K</t>
  </si>
  <si>
    <t>33-ODD-A</t>
  </si>
  <si>
    <t>33-ODD-B</t>
  </si>
  <si>
    <t>33-ODD-C</t>
  </si>
  <si>
    <t>33-ODD-D</t>
  </si>
  <si>
    <t>33-ODD-G</t>
  </si>
  <si>
    <t>33-ODD-K</t>
  </si>
  <si>
    <t>34-EVEN-K</t>
  </si>
  <si>
    <t>34-ODD-A</t>
  </si>
  <si>
    <t>34-ODD-D</t>
  </si>
  <si>
    <t>35-EVEN-C</t>
  </si>
  <si>
    <t>35-EVEN-K</t>
  </si>
  <si>
    <t>35-ODD-D</t>
  </si>
  <si>
    <t>35-ODD-G</t>
  </si>
  <si>
    <t>36-EVEN-C</t>
  </si>
  <si>
    <t>36-EVEN-D</t>
  </si>
  <si>
    <t>36-ODD-C</t>
  </si>
  <si>
    <t>36-ODD-G</t>
  </si>
  <si>
    <t>39-EVEN-C</t>
  </si>
  <si>
    <t>39-EVEN-D</t>
  </si>
  <si>
    <t>39-EVEN-G</t>
  </si>
  <si>
    <t>39-ODD-C</t>
  </si>
  <si>
    <t>40-EVEN-A</t>
  </si>
  <si>
    <t>40-EVEN-B</t>
  </si>
  <si>
    <t>40-EVEN-C</t>
  </si>
  <si>
    <t>40-EVEN-D</t>
  </si>
  <si>
    <t>40-EVEN-E</t>
  </si>
  <si>
    <t>40-EVEN-G</t>
  </si>
  <si>
    <t>40-ODD-C</t>
  </si>
  <si>
    <t>40-ODD-D</t>
  </si>
  <si>
    <t>40-ODD-G</t>
  </si>
  <si>
    <t>40-ODD-K</t>
  </si>
  <si>
    <t>68-EVEN-C</t>
  </si>
  <si>
    <t>68-EVEN-D</t>
  </si>
  <si>
    <t>68-EVEN-G</t>
  </si>
  <si>
    <t>68-EVEN-N</t>
  </si>
  <si>
    <t>68-EVEN-R</t>
  </si>
  <si>
    <t>68-EVEN-X</t>
  </si>
  <si>
    <t>69-EVEN-C</t>
  </si>
  <si>
    <t>69-EVEN-G</t>
  </si>
  <si>
    <t>69-EVEN-N</t>
  </si>
  <si>
    <t>69-EVEN-X</t>
  </si>
  <si>
    <t>69-ODD-C</t>
  </si>
  <si>
    <t>69-ODD-G</t>
  </si>
  <si>
    <t>69-ODD-K</t>
  </si>
  <si>
    <t>69-ODD-N</t>
  </si>
  <si>
    <t>69-ODD-X</t>
  </si>
  <si>
    <t>70-EVEN-C</t>
  </si>
  <si>
    <t>70-EVEN-D</t>
  </si>
  <si>
    <t>70-EVEN-G</t>
  </si>
  <si>
    <t>70-EVEN-K</t>
  </si>
  <si>
    <t>70-EVEN-N</t>
  </si>
  <si>
    <t>70-ODD-C</t>
  </si>
  <si>
    <t>70-ODD-D</t>
  </si>
  <si>
    <t>70-ODD-G</t>
  </si>
  <si>
    <t>70-ODD-K</t>
  </si>
  <si>
    <t>70-ODD-N</t>
  </si>
  <si>
    <t>MISC</t>
  </si>
  <si>
    <t>OUT</t>
  </si>
  <si>
    <t>IDX</t>
  </si>
  <si>
    <t>Grand Total</t>
  </si>
  <si>
    <t>Row Labels</t>
  </si>
  <si>
    <t>TEAM</t>
  </si>
  <si>
    <t>TEAM A - YU AN</t>
  </si>
  <si>
    <t>TEAM C - Kok Cheng</t>
  </si>
  <si>
    <t>IN</t>
  </si>
  <si>
    <t>TEAM D - Teck Seng</t>
  </si>
  <si>
    <t>TEAM B - Kenneth</t>
  </si>
  <si>
    <t>Date</t>
  </si>
  <si>
    <t>TEAM A - Yu An</t>
  </si>
  <si>
    <t>COUNT 2 
IN</t>
  </si>
  <si>
    <t>COUNT 1</t>
  </si>
  <si>
    <t>TOTAL</t>
  </si>
  <si>
    <t>36 - 79</t>
  </si>
  <si>
    <t>31 - 35</t>
  </si>
  <si>
    <t>27 - 30</t>
  </si>
  <si>
    <t>21 -25</t>
  </si>
  <si>
    <t>(blank)</t>
  </si>
  <si>
    <t>Count of CountBook</t>
  </si>
  <si>
    <t>COUNT SHEET 
STATUS</t>
  </si>
  <si>
    <t>COMPLETE</t>
  </si>
  <si>
    <t>BAL.</t>
  </si>
  <si>
    <t>Thiam Kiat Goh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</si>
</sst>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0000"/>
    <numFmt numFmtId="166" formatCode="dd/mm/yy"/>
  </numFmts>
  <fonts count="16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name val="Calibri"/>
      <family val="2"/>
      <scheme val="minor"/>
    </font>
    <font>
      <sz val="20"/>
      <color rgb="FF3366FF"/>
      <name val="Lucida Grande"/>
    </font>
    <font>
      <sz val="20"/>
      <color rgb="FFFF0000"/>
      <name val="Lucida Grande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9"/>
      <name val="Monaco"/>
      <family val="2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sz val="12"/>
      <color theme="1"/>
      <name val="Calibri"/>
      <family val="2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theme="1" tint="0.49998474074526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theme="6" tint="0.79998168889431442"/>
      </top>
      <bottom style="thin">
        <color theme="6" tint="0.7999816888943144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6" tint="0.79998168889431442"/>
      </top>
      <bottom/>
      <diagonal/>
    </border>
  </borders>
  <cellStyleXfs count="16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8" fillId="0" borderId="0"/>
    <xf numFmtId="0" fontId="9" fillId="0" borderId="0"/>
    <xf numFmtId="0" fontId="9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01">
    <xf numFmtId="0" fontId="0" fillId="0" borderId="0" xfId="0"/>
    <xf numFmtId="18" fontId="0" fillId="0" borderId="0" xfId="0" applyNumberFormat="1"/>
    <xf numFmtId="0" fontId="1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7" fillId="5" borderId="1" xfId="0" applyNumberFormat="1" applyFont="1" applyFill="1" applyBorder="1" applyAlignment="1">
      <alignment vertical="center"/>
    </xf>
    <xf numFmtId="0" fontId="7" fillId="5" borderId="1" xfId="9" applyNumberFormat="1" applyFont="1" applyFill="1" applyBorder="1" applyAlignment="1">
      <alignment horizontal="center"/>
    </xf>
    <xf numFmtId="0" fontId="7" fillId="5" borderId="1" xfId="9" applyNumberFormat="1" applyFont="1" applyFill="1" applyBorder="1" applyAlignment="1"/>
    <xf numFmtId="0" fontId="7" fillId="5" borderId="1" xfId="10" applyFont="1" applyFill="1" applyBorder="1" applyAlignment="1">
      <alignment horizontal="center"/>
    </xf>
    <xf numFmtId="0" fontId="7" fillId="5" borderId="1" xfId="11" applyFont="1" applyFill="1" applyBorder="1" applyAlignment="1">
      <alignment wrapText="1"/>
    </xf>
    <xf numFmtId="0" fontId="0" fillId="6" borderId="1" xfId="0" applyFill="1" applyBorder="1" applyAlignment="1">
      <alignment horizontal="center"/>
    </xf>
    <xf numFmtId="0" fontId="0" fillId="6" borderId="1" xfId="0" applyFill="1" applyBorder="1" applyAlignment="1"/>
    <xf numFmtId="0" fontId="0" fillId="0" borderId="1" xfId="0" applyFont="1" applyBorder="1" applyAlignment="1">
      <alignment horizontal="center" vertical="center"/>
    </xf>
    <xf numFmtId="0" fontId="10" fillId="7" borderId="1" xfId="0" applyFont="1" applyFill="1" applyBorder="1" applyAlignment="1">
      <alignment vertical="center"/>
    </xf>
    <xf numFmtId="0" fontId="11" fillId="7" borderId="1" xfId="9" applyFont="1" applyFill="1" applyBorder="1" applyAlignment="1">
      <alignment horizontal="center"/>
    </xf>
    <xf numFmtId="0" fontId="11" fillId="7" borderId="1" xfId="9" applyFont="1" applyFill="1" applyBorder="1" applyAlignment="1"/>
    <xf numFmtId="0" fontId="10" fillId="0" borderId="1" xfId="0" applyFont="1" applyBorder="1" applyAlignment="1">
      <alignment vertical="center"/>
    </xf>
    <xf numFmtId="0" fontId="11" fillId="0" borderId="1" xfId="9" applyFont="1" applyBorder="1" applyAlignment="1">
      <alignment horizontal="center"/>
    </xf>
    <xf numFmtId="0" fontId="11" fillId="0" borderId="1" xfId="9" applyFont="1" applyBorder="1" applyAlignment="1"/>
    <xf numFmtId="0" fontId="7" fillId="0" borderId="1" xfId="9" applyFont="1" applyBorder="1" applyAlignment="1"/>
    <xf numFmtId="0" fontId="7" fillId="0" borderId="1" xfId="9" applyNumberFormat="1" applyFont="1" applyFill="1" applyBorder="1" applyAlignment="1">
      <alignment horizontal="center"/>
    </xf>
    <xf numFmtId="0" fontId="7" fillId="0" borderId="1" xfId="9" applyNumberFormat="1" applyFont="1" applyFill="1" applyBorder="1" applyAlignment="1"/>
    <xf numFmtId="0" fontId="7" fillId="7" borderId="1" xfId="9" applyNumberFormat="1" applyFont="1" applyFill="1" applyBorder="1" applyAlignment="1">
      <alignment horizontal="center"/>
    </xf>
    <xf numFmtId="0" fontId="7" fillId="7" borderId="1" xfId="9" applyNumberFormat="1" applyFont="1" applyFill="1" applyBorder="1" applyAlignment="1"/>
    <xf numFmtId="0" fontId="7" fillId="0" borderId="1" xfId="10" applyFont="1" applyFill="1" applyBorder="1" applyAlignment="1">
      <alignment horizontal="center"/>
    </xf>
    <xf numFmtId="0" fontId="7" fillId="0" borderId="1" xfId="11" applyFont="1" applyFill="1" applyBorder="1" applyAlignment="1">
      <alignment wrapText="1"/>
    </xf>
    <xf numFmtId="0" fontId="11" fillId="0" borderId="1" xfId="9" applyFont="1" applyBorder="1" applyAlignment="1">
      <alignment horizontal="center" vertical="center"/>
    </xf>
    <xf numFmtId="0" fontId="11" fillId="0" borderId="1" xfId="9" applyFont="1" applyBorder="1" applyAlignment="1">
      <alignment vertical="center"/>
    </xf>
    <xf numFmtId="0" fontId="10" fillId="7" borderId="1" xfId="11" applyFont="1" applyFill="1" applyBorder="1" applyAlignment="1">
      <alignment vertical="center"/>
    </xf>
    <xf numFmtId="0" fontId="7" fillId="0" borderId="1" xfId="9" applyFont="1" applyBorder="1" applyAlignment="1">
      <alignment horizontal="center" vertical="center"/>
    </xf>
    <xf numFmtId="0" fontId="7" fillId="0" borderId="1" xfId="9" applyFont="1" applyBorder="1" applyAlignment="1">
      <alignment vertical="center"/>
    </xf>
    <xf numFmtId="0" fontId="0" fillId="7" borderId="1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ont="1" applyFill="1" applyBorder="1" applyAlignment="1">
      <alignment horizontal="center" vertical="center"/>
    </xf>
    <xf numFmtId="0" fontId="7" fillId="0" borderId="1" xfId="0" applyNumberFormat="1" applyFont="1" applyFill="1" applyBorder="1" applyAlignment="1">
      <alignment vertical="center"/>
    </xf>
    <xf numFmtId="0" fontId="7" fillId="7" borderId="1" xfId="0" applyFont="1" applyFill="1" applyBorder="1" applyAlignment="1"/>
    <xf numFmtId="0" fontId="0" fillId="0" borderId="1" xfId="0" applyBorder="1" applyAlignment="1">
      <alignment horizontal="center"/>
    </xf>
    <xf numFmtId="0" fontId="0" fillId="0" borderId="1" xfId="0" applyBorder="1" applyAlignment="1"/>
    <xf numFmtId="164" fontId="7" fillId="7" borderId="1" xfId="11" applyNumberFormat="1" applyFont="1" applyFill="1" applyBorder="1" applyAlignment="1">
      <alignment horizontal="center"/>
    </xf>
    <xf numFmtId="0" fontId="7" fillId="7" borderId="1" xfId="11" applyFont="1" applyFill="1" applyBorder="1" applyAlignment="1">
      <alignment wrapText="1"/>
    </xf>
    <xf numFmtId="0" fontId="7" fillId="7" borderId="1" xfId="10" applyFont="1" applyFill="1" applyBorder="1" applyAlignment="1">
      <alignment horizontal="center"/>
    </xf>
    <xf numFmtId="0" fontId="7" fillId="7" borderId="1" xfId="9" applyFont="1" applyFill="1" applyBorder="1" applyAlignment="1">
      <alignment horizontal="center" vertical="center"/>
    </xf>
    <xf numFmtId="0" fontId="7" fillId="7" borderId="1" xfId="9" applyFont="1" applyFill="1" applyBorder="1" applyAlignment="1"/>
    <xf numFmtId="0" fontId="7" fillId="8" borderId="1" xfId="9" applyNumberFormat="1" applyFont="1" applyFill="1" applyBorder="1" applyAlignment="1">
      <alignment horizontal="center"/>
    </xf>
    <xf numFmtId="0" fontId="7" fillId="8" borderId="1" xfId="9" applyNumberFormat="1" applyFont="1" applyFill="1" applyBorder="1" applyAlignment="1"/>
    <xf numFmtId="0" fontId="0" fillId="9" borderId="1" xfId="0" applyFill="1" applyBorder="1" applyAlignment="1">
      <alignment horizontal="center"/>
    </xf>
    <xf numFmtId="0" fontId="0" fillId="9" borderId="1" xfId="0" applyFill="1" applyBorder="1" applyAlignment="1"/>
    <xf numFmtId="0" fontId="11" fillId="9" borderId="1" xfId="9" applyFont="1" applyFill="1" applyBorder="1" applyAlignment="1">
      <alignment horizontal="center"/>
    </xf>
    <xf numFmtId="0" fontId="11" fillId="9" borderId="1" xfId="9" applyFont="1" applyFill="1" applyBorder="1" applyAlignment="1"/>
    <xf numFmtId="0" fontId="11" fillId="10" borderId="1" xfId="9" applyFont="1" applyFill="1" applyBorder="1" applyAlignment="1">
      <alignment horizontal="center"/>
    </xf>
    <xf numFmtId="0" fontId="7" fillId="10" borderId="1" xfId="9" applyFont="1" applyFill="1" applyBorder="1" applyAlignment="1"/>
    <xf numFmtId="0" fontId="7" fillId="10" borderId="1" xfId="11" applyFont="1" applyFill="1" applyBorder="1" applyAlignment="1">
      <alignment horizontal="center" wrapText="1"/>
    </xf>
    <xf numFmtId="0" fontId="7" fillId="10" borderId="1" xfId="9" applyFont="1" applyFill="1" applyBorder="1" applyAlignment="1">
      <alignment horizontal="center" vertical="center"/>
    </xf>
    <xf numFmtId="0" fontId="11" fillId="10" borderId="1" xfId="9" applyFont="1" applyFill="1" applyBorder="1" applyAlignment="1"/>
    <xf numFmtId="0" fontId="7" fillId="10" borderId="1" xfId="9" applyNumberFormat="1" applyFont="1" applyFill="1" applyBorder="1" applyAlignment="1">
      <alignment horizontal="center"/>
    </xf>
    <xf numFmtId="0" fontId="7" fillId="10" borderId="1" xfId="9" applyNumberFormat="1" applyFont="1" applyFill="1" applyBorder="1" applyAlignment="1"/>
    <xf numFmtId="0" fontId="0" fillId="5" borderId="0" xfId="0" applyFill="1"/>
    <xf numFmtId="0" fontId="12" fillId="0" borderId="0" xfId="0" applyFont="1" applyFill="1" applyBorder="1"/>
    <xf numFmtId="0" fontId="12" fillId="11" borderId="0" xfId="0" applyFont="1" applyFill="1" applyBorder="1"/>
    <xf numFmtId="0" fontId="4" fillId="3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18" fontId="0" fillId="0" borderId="0" xfId="0" applyNumberFormat="1" applyAlignment="1">
      <alignment horizontal="center"/>
    </xf>
    <xf numFmtId="0" fontId="12" fillId="0" borderId="0" xfId="0" applyFont="1" applyFill="1" applyBorder="1" applyAlignment="1">
      <alignment horizontal="center"/>
    </xf>
    <xf numFmtId="18" fontId="12" fillId="0" borderId="0" xfId="0" applyNumberFormat="1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18" fontId="0" fillId="0" borderId="0" xfId="0" applyNumberFormat="1" applyFont="1" applyAlignment="1">
      <alignment horizontal="center"/>
    </xf>
    <xf numFmtId="0" fontId="13" fillId="0" borderId="0" xfId="9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3" xfId="0" applyFont="1" applyBorder="1" applyAlignment="1">
      <alignment horizontal="left"/>
    </xf>
    <xf numFmtId="0" fontId="0" fillId="0" borderId="0" xfId="0" applyNumberFormat="1"/>
    <xf numFmtId="0" fontId="0" fillId="0" borderId="3" xfId="0" applyNumberFormat="1" applyFont="1" applyBorder="1"/>
    <xf numFmtId="0" fontId="14" fillId="12" borderId="0" xfId="0" applyFont="1" applyFill="1" applyAlignment="1">
      <alignment horizontal="center"/>
    </xf>
    <xf numFmtId="0" fontId="15" fillId="13" borderId="0" xfId="0" applyFont="1" applyFill="1" applyAlignment="1">
      <alignment horizontal="center"/>
    </xf>
    <xf numFmtId="0" fontId="0" fillId="0" borderId="0" xfId="0" applyFill="1"/>
    <xf numFmtId="0" fontId="4" fillId="3" borderId="0" xfId="0" applyFon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166" fontId="0" fillId="0" borderId="0" xfId="0" applyNumberFormat="1"/>
    <xf numFmtId="0" fontId="0" fillId="5" borderId="0" xfId="0" applyFill="1" applyAlignment="1">
      <alignment horizontal="center"/>
    </xf>
    <xf numFmtId="0" fontId="12" fillId="11" borderId="0" xfId="0" applyFont="1" applyFill="1" applyBorder="1" applyAlignment="1">
      <alignment horizontal="center"/>
    </xf>
    <xf numFmtId="18" fontId="0" fillId="5" borderId="0" xfId="0" applyNumberFormat="1" applyFill="1" applyAlignment="1">
      <alignment horizontal="center"/>
    </xf>
    <xf numFmtId="18" fontId="12" fillId="11" borderId="0" xfId="0" applyNumberFormat="1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 wrapText="1"/>
    </xf>
    <xf numFmtId="0" fontId="4" fillId="4" borderId="4" xfId="0" applyFont="1" applyFill="1" applyBorder="1" applyAlignment="1">
      <alignment horizontal="center"/>
    </xf>
    <xf numFmtId="0" fontId="15" fillId="14" borderId="4" xfId="0" applyFont="1" applyFill="1" applyBorder="1" applyAlignment="1">
      <alignment horizontal="center" wrapText="1"/>
    </xf>
    <xf numFmtId="0" fontId="15" fillId="15" borderId="4" xfId="0" applyFont="1" applyFill="1" applyBorder="1" applyAlignment="1">
      <alignment horizontal="center" wrapText="1"/>
    </xf>
    <xf numFmtId="0" fontId="15" fillId="14" borderId="4" xfId="0" applyFont="1" applyFill="1" applyBorder="1" applyAlignment="1">
      <alignment horizontal="center"/>
    </xf>
    <xf numFmtId="0" fontId="15" fillId="15" borderId="4" xfId="0" applyFont="1" applyFill="1" applyBorder="1" applyAlignment="1">
      <alignment horizontal="center" wrapText="1"/>
    </xf>
    <xf numFmtId="0" fontId="15" fillId="15" borderId="4" xfId="0" applyFont="1" applyFill="1" applyBorder="1" applyAlignment="1">
      <alignment horizontal="center"/>
    </xf>
    <xf numFmtId="0" fontId="1" fillId="0" borderId="4" xfId="0" applyNumberFormat="1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4" xfId="0" applyNumberFormat="1" applyFont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0" fontId="0" fillId="0" borderId="5" xfId="0" applyNumberFormat="1" applyFont="1" applyFill="1" applyBorder="1" applyAlignment="1">
      <alignment horizontal="center"/>
    </xf>
    <xf numFmtId="0" fontId="0" fillId="0" borderId="6" xfId="0" applyNumberFormat="1" applyFont="1" applyBorder="1" applyAlignment="1">
      <alignment horizontal="center"/>
    </xf>
    <xf numFmtId="0" fontId="0" fillId="0" borderId="0" xfId="0" applyFill="1" applyAlignment="1">
      <alignment horizontal="center"/>
    </xf>
    <xf numFmtId="0" fontId="1" fillId="2" borderId="4" xfId="0" applyFont="1" applyFill="1" applyBorder="1" applyAlignment="1">
      <alignment horizontal="center"/>
    </xf>
  </cellXfs>
  <cellStyles count="16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3" builtinId="9" hidden="1"/>
    <cellStyle name="Followed Hyperlink" xfId="15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12" builtinId="8" hidden="1"/>
    <cellStyle name="Hyperlink" xfId="14" builtinId="8" hidden="1"/>
    <cellStyle name="Normal" xfId="0" builtinId="0"/>
    <cellStyle name="Normal 2" xfId="9"/>
    <cellStyle name="Normal_Sheet1" xfId="11"/>
    <cellStyle name="Normal_Sheet1_1" xfId="10"/>
  </cellStyles>
  <dxfs count="0"/>
  <tableStyles count="0" defaultTableStyle="TableStyleMedium9" defaultPivotStyle="PivotStyleMedium4"/>
  <colors>
    <mruColors>
      <color rgb="FF00660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9525</xdr:rowOff>
        </xdr:from>
        <xdr:to>
          <xdr:col>11</xdr:col>
          <xdr:colOff>28575</xdr:colOff>
          <xdr:row>3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FF0000"/>
                  </a:solidFill>
                  <a:latin typeface="Lucida Grande"/>
                </a:rPr>
                <a:t>Time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5</xdr:row>
          <xdr:rowOff>142875</xdr:rowOff>
        </xdr:from>
        <xdr:to>
          <xdr:col>11</xdr:col>
          <xdr:colOff>0</xdr:colOff>
          <xdr:row>8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3366FF"/>
                  </a:solidFill>
                  <a:latin typeface="Lucida Grande"/>
                </a:rPr>
                <a:t>Time IN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chenker Singapore Pte Ltd" refreshedDate="42155.449266782409" createdVersion="4" refreshedVersion="4" minRefreshableVersion="3" recordCount="190">
  <cacheSource type="worksheet">
    <worksheetSource ref="A1:D1048576" sheet="MAP"/>
  </cacheSource>
  <cacheFields count="4">
    <cacheField name="CountBook" numFmtId="0">
      <sharedItems containsBlank="1"/>
    </cacheField>
    <cacheField name="OUT" numFmtId="0">
      <sharedItems containsBlank="1"/>
    </cacheField>
    <cacheField name="TEAM" numFmtId="0">
      <sharedItems containsBlank="1" count="5">
        <s v="TEAM D - Teck Seng"/>
        <s v="TEAM C - Kok Cheng"/>
        <s v="TEAM B - Kenneth"/>
        <s v="TEAM A - YU AN"/>
        <m/>
      </sharedItems>
    </cacheField>
    <cacheField name="IN" numFmtId="0">
      <sharedItems containsBlank="1" count="184">
        <e v="#N/A"/>
        <s v="70-ODD-N"/>
        <s v="70-ODD-K"/>
        <s v="70-ODD-G"/>
        <s v="70-ODD-D"/>
        <s v="70-ODD-C"/>
        <s v="70-EVEN-N"/>
        <s v="70-EVEN-K"/>
        <s v="70-EVEN-G"/>
        <s v="70-EVEN-D"/>
        <s v="70-EVEN-C"/>
        <s v="69-ODD-X"/>
        <s v="69-ODD-N"/>
        <s v="69-ODD-K"/>
        <s v="69-ODD-G"/>
        <s v="69-ODD-D"/>
        <s v="69-ODD-C"/>
        <s v="69-EVEN-X"/>
        <s v="69-EVEN-N"/>
        <s v="69-EVEN-K"/>
        <s v="69-EVEN-G"/>
        <s v="69-EVEN-D"/>
        <s v="69-EVEN-C"/>
        <s v="68-EVEN-X"/>
        <s v="68-EVEN-U"/>
        <s v="68-EVEN-R"/>
        <s v="68-EVEN-N"/>
        <s v="68-EVEN-K"/>
        <s v="68-EVEN-G"/>
        <s v="68-EVEN-D"/>
        <s v="68-EVEN-C"/>
        <s v="40-ODD-K"/>
        <s v="40-ODD-G"/>
        <s v="40-ODD-D"/>
        <s v="40-ODD-C"/>
        <s v="40-EVEN-K"/>
        <s v="40-EVEN-G"/>
        <s v="40-EVEN-E"/>
        <s v="40-EVEN-D"/>
        <s v="40-EVEN-C"/>
        <s v="40-EVEN-B"/>
        <s v="40-EVEN-A"/>
        <s v="39-ODD-C"/>
        <s v="39-EVEN-G"/>
        <s v="39-EVEN-D"/>
        <s v="39-EVEN-C"/>
        <s v="36-ODD-G"/>
        <s v="36-ODD-C"/>
        <s v="36-EVEN-D"/>
        <s v="36-EVEN-C"/>
        <s v="35-ODD-D"/>
        <s v="35-ODD-C"/>
        <s v="35-EVEN-K"/>
        <s v="35-EVEN-C"/>
        <s v="34-ODD-D"/>
        <s v="34-ODD-C"/>
        <s v="34-ODD-B"/>
        <s v="34-ODD-A"/>
        <s v="34-EVEN-K"/>
        <s v="33-ODD-K"/>
        <s v="33-ODD-G"/>
        <s v="33-ODD-D"/>
        <s v="33-ODD-B"/>
        <s v="33-ODD-A"/>
        <s v="33-EVEN-K"/>
        <s v="33-EVEN-G"/>
        <s v="33-EVEN-D"/>
        <s v="33-EVEN-C"/>
        <s v="33-EVEN-B"/>
        <s v="33-EVEN-A"/>
        <s v="32-ODD-G"/>
        <s v="32-ODD-D"/>
        <s v="32-ODD-C"/>
        <s v="32-ODD-B"/>
        <s v="32-ODD-A"/>
        <s v="32-EVEN-K"/>
        <s v="32-EVEN-G"/>
        <s v="32-EVEN-D"/>
        <s v="32-EVEN-C"/>
        <s v="32-EVEN-B"/>
        <s v="32-EVEN-A"/>
        <s v="31-ODD-K"/>
        <s v="31-ODD-G"/>
        <s v="31-ODD-D"/>
        <s v="31-ODD-C"/>
        <s v="31-ODD-B"/>
        <s v="31-ODD-A"/>
        <s v="31-EVEN-K"/>
        <s v="31-EVEN-G"/>
        <s v="31-EVEN-D"/>
        <s v="31-EVEN-C"/>
        <s v="31-EVEN-B"/>
        <s v="31-EVEN-A"/>
        <s v="30-ODD-G"/>
        <s v="30-ODD-C"/>
        <s v="30-ODD-B"/>
        <s v="30-ODD-A"/>
        <s v="30-EVEN-K"/>
        <s v="30-EVEN-C"/>
        <s v="30-EVEN-B"/>
        <s v="30-EVEN-A"/>
        <s v="29-ODD-K"/>
        <s v="29-ODD-G"/>
        <s v="29-ODD-D"/>
        <s v="29-ODD-C"/>
        <s v="29-ODD-B"/>
        <s v="29-ODD-A"/>
        <s v="29-EVEN-K"/>
        <s v="29-EVEN-G"/>
        <s v="29-EVEN-D"/>
        <s v="29-EVEN-C"/>
        <s v="29-EVEN-B"/>
        <s v="29-EVEN-A"/>
        <s v="28-ODD-K"/>
        <s v="28-ODD-G"/>
        <s v="28-ODD-D"/>
        <s v="28-ODD-C"/>
        <s v="28-ODD-B"/>
        <s v="28-ODD-A"/>
        <s v="28-EVEN-K"/>
        <s v="28-EVEN-G"/>
        <s v="28-EVEN-D"/>
        <s v="28-EVEN-C"/>
        <s v="28-EVEN-B"/>
        <s v="28-EVEN-A"/>
        <s v="27-ODD-K"/>
        <s v="27-ODD-G"/>
        <s v="27-ODD-D"/>
        <s v="27-ODD-C"/>
        <s v="27-ODD-B"/>
        <s v="27-ODD-A"/>
        <s v="27-EVEN-K"/>
        <s v="27-EVEN-G"/>
        <s v="27-EVEN-D"/>
        <s v="27-EVEN-C"/>
        <s v="27-EVEN-B"/>
        <s v="27-EVEN-A"/>
        <s v="26-ODD-K"/>
        <s v="26-ODD-G"/>
        <s v="26-ODD-D"/>
        <s v="26-ODD-C"/>
        <s v="26-ODD-B"/>
        <s v="26-ODD-A"/>
        <s v="26-EVEN-K"/>
        <s v="26-EVEN-G"/>
        <s v="26-EVEN-D"/>
        <s v="26-EVEN-C"/>
        <s v="26-EVEN-B"/>
        <s v="26-EVEN-A"/>
        <s v="25-ODD-K"/>
        <s v="25-ODD-G"/>
        <s v="25-ODD-D"/>
        <s v="25-ODD-C"/>
        <s v="25-EVEN-K"/>
        <s v="25-EVEN-G"/>
        <s v="25-EVEN-D"/>
        <s v="25-EVEN-C"/>
        <s v="24-ODD-K"/>
        <s v="24-ODD-G"/>
        <s v="24-ODD-D"/>
        <s v="24-ODD-C"/>
        <s v="24-EVEN-K"/>
        <s v="24-EVEN-G"/>
        <s v="24-EVEN-D"/>
        <s v="24-EVEN-C"/>
        <s v="23-ODD-K"/>
        <s v="23-ODD-G"/>
        <s v="23-ODD-D"/>
        <s v="23-ODD-C"/>
        <s v="23-EVEN-K"/>
        <s v="23-EVEN-G"/>
        <s v="23-EVEN-D"/>
        <s v="23-EVEN-C"/>
        <s v="22-ODD-C"/>
        <s v="22-EVEN-K"/>
        <s v="22-EVEN-G"/>
        <s v="22-EVEN-D"/>
        <s v="22-EVEN-C"/>
        <s v="21-ODD-K"/>
        <s v="21-ODD-G"/>
        <s v="21-ODD-D"/>
        <s v="21-ODD-C"/>
        <s v="21-EVEN-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0">
  <r>
    <s v="MISC"/>
    <e v="#N/A"/>
    <x v="0"/>
    <x v="0"/>
  </r>
  <r>
    <s v="70-ODD-N"/>
    <s v="70-ODD-N"/>
    <x v="0"/>
    <x v="1"/>
  </r>
  <r>
    <s v="70-ODD-K"/>
    <s v="70-ODD-K"/>
    <x v="0"/>
    <x v="2"/>
  </r>
  <r>
    <s v="70-ODD-G"/>
    <s v="70-ODD-G"/>
    <x v="0"/>
    <x v="3"/>
  </r>
  <r>
    <s v="70-ODD-D"/>
    <s v="70-ODD-D"/>
    <x v="0"/>
    <x v="4"/>
  </r>
  <r>
    <s v="70-ODD-C"/>
    <s v="70-ODD-C"/>
    <x v="0"/>
    <x v="5"/>
  </r>
  <r>
    <s v="70-EVEN-N"/>
    <s v="70-EVEN-N"/>
    <x v="0"/>
    <x v="6"/>
  </r>
  <r>
    <s v="70-EVEN-K"/>
    <s v="70-EVEN-K"/>
    <x v="0"/>
    <x v="7"/>
  </r>
  <r>
    <s v="70-EVEN-G"/>
    <s v="70-EVEN-G"/>
    <x v="0"/>
    <x v="8"/>
  </r>
  <r>
    <s v="70-EVEN-D"/>
    <s v="70-EVEN-D"/>
    <x v="0"/>
    <x v="9"/>
  </r>
  <r>
    <s v="70-EVEN-C"/>
    <s v="70-EVEN-C"/>
    <x v="0"/>
    <x v="10"/>
  </r>
  <r>
    <s v="69-ODD-X"/>
    <s v="69-ODD-X"/>
    <x v="0"/>
    <x v="11"/>
  </r>
  <r>
    <s v="69-ODD-N"/>
    <s v="69-ODD-N"/>
    <x v="0"/>
    <x v="12"/>
  </r>
  <r>
    <s v="69-ODD-K"/>
    <s v="69-ODD-K"/>
    <x v="0"/>
    <x v="13"/>
  </r>
  <r>
    <s v="69-ODD-G"/>
    <s v="69-ODD-G"/>
    <x v="0"/>
    <x v="14"/>
  </r>
  <r>
    <s v="69-ODD-D"/>
    <s v="69-ODD-D"/>
    <x v="0"/>
    <x v="15"/>
  </r>
  <r>
    <s v="69-ODD-C"/>
    <s v="69-ODD-C"/>
    <x v="0"/>
    <x v="16"/>
  </r>
  <r>
    <s v="69-EVEN-X"/>
    <s v="69-EVEN-X"/>
    <x v="0"/>
    <x v="17"/>
  </r>
  <r>
    <s v="69-EVEN-N"/>
    <s v="69-EVEN-N"/>
    <x v="0"/>
    <x v="18"/>
  </r>
  <r>
    <s v="69-EVEN-K"/>
    <s v="69-EVEN-K"/>
    <x v="0"/>
    <x v="19"/>
  </r>
  <r>
    <s v="69-EVEN-G"/>
    <s v="69-EVEN-G"/>
    <x v="0"/>
    <x v="20"/>
  </r>
  <r>
    <s v="69-EVEN-D"/>
    <s v="69-EVEN-D"/>
    <x v="0"/>
    <x v="21"/>
  </r>
  <r>
    <s v="69-EVEN-C"/>
    <s v="69-EVEN-C"/>
    <x v="0"/>
    <x v="22"/>
  </r>
  <r>
    <s v="68-EVEN-X"/>
    <s v="68-EVEN-X"/>
    <x v="0"/>
    <x v="23"/>
  </r>
  <r>
    <s v="68-EVEN-U"/>
    <s v="68-EVEN-U"/>
    <x v="0"/>
    <x v="24"/>
  </r>
  <r>
    <s v="68-EVEN-R"/>
    <s v="68-EVEN-R"/>
    <x v="0"/>
    <x v="25"/>
  </r>
  <r>
    <s v="68-EVEN-N"/>
    <s v="68-EVEN-N"/>
    <x v="0"/>
    <x v="26"/>
  </r>
  <r>
    <s v="68-EVEN-K"/>
    <s v="68-EVEN-K"/>
    <x v="0"/>
    <x v="27"/>
  </r>
  <r>
    <s v="68-EVEN-G"/>
    <s v="68-EVEN-G"/>
    <x v="0"/>
    <x v="28"/>
  </r>
  <r>
    <s v="68-EVEN-D"/>
    <s v="68-EVEN-D"/>
    <x v="0"/>
    <x v="29"/>
  </r>
  <r>
    <s v="68-EVEN-C"/>
    <s v="68-EVEN-C"/>
    <x v="0"/>
    <x v="30"/>
  </r>
  <r>
    <s v="40-ODD-K"/>
    <s v="40-ODD-K"/>
    <x v="0"/>
    <x v="31"/>
  </r>
  <r>
    <s v="40-ODD-G"/>
    <s v="40-ODD-G"/>
    <x v="0"/>
    <x v="32"/>
  </r>
  <r>
    <s v="40-ODD-D"/>
    <s v="40-ODD-D"/>
    <x v="0"/>
    <x v="33"/>
  </r>
  <r>
    <s v="40-ODD-C"/>
    <s v="40-ODD-C"/>
    <x v="0"/>
    <x v="34"/>
  </r>
  <r>
    <s v="40-EVEN-K"/>
    <s v="40-EVEN-K"/>
    <x v="0"/>
    <x v="35"/>
  </r>
  <r>
    <s v="40-EVEN-G"/>
    <s v="40-EVEN-G"/>
    <x v="0"/>
    <x v="36"/>
  </r>
  <r>
    <s v="40-EVEN-E"/>
    <s v="40-EVEN-E"/>
    <x v="0"/>
    <x v="37"/>
  </r>
  <r>
    <s v="40-EVEN-D"/>
    <s v="40-EVEN-D"/>
    <x v="0"/>
    <x v="38"/>
  </r>
  <r>
    <s v="40-EVEN-C"/>
    <s v="40-EVEN-C"/>
    <x v="0"/>
    <x v="39"/>
  </r>
  <r>
    <s v="40-EVEN-B"/>
    <s v="40-EVEN-B"/>
    <x v="0"/>
    <x v="40"/>
  </r>
  <r>
    <s v="40-EVEN-A"/>
    <s v="40-EVEN-A"/>
    <x v="0"/>
    <x v="41"/>
  </r>
  <r>
    <s v="39-ODD-C"/>
    <s v="39-ODD-C"/>
    <x v="0"/>
    <x v="42"/>
  </r>
  <r>
    <s v="39-EVEN-G"/>
    <s v="39-EVEN-G"/>
    <x v="0"/>
    <x v="43"/>
  </r>
  <r>
    <s v="39-EVEN-D"/>
    <s v="39-EVEN-D"/>
    <x v="0"/>
    <x v="44"/>
  </r>
  <r>
    <s v="39-EVEN-C"/>
    <s v="39-EVEN-C"/>
    <x v="0"/>
    <x v="45"/>
  </r>
  <r>
    <s v="36-ODD-G"/>
    <s v="36-ODD-G"/>
    <x v="0"/>
    <x v="46"/>
  </r>
  <r>
    <s v="36-ODD-C"/>
    <s v="36-ODD-C"/>
    <x v="0"/>
    <x v="47"/>
  </r>
  <r>
    <s v="36-EVEN-D"/>
    <s v="36-EVEN-D"/>
    <x v="0"/>
    <x v="48"/>
  </r>
  <r>
    <s v="36-EVEN-C"/>
    <s v="36-EVEN-C"/>
    <x v="0"/>
    <x v="49"/>
  </r>
  <r>
    <s v="35-ODD-G"/>
    <s v="35-ODD-G"/>
    <x v="1"/>
    <x v="0"/>
  </r>
  <r>
    <s v="35-ODD-D"/>
    <s v="35-ODD-D"/>
    <x v="1"/>
    <x v="50"/>
  </r>
  <r>
    <s v="35-ODD-C"/>
    <s v="35-ODD-C"/>
    <x v="1"/>
    <x v="51"/>
  </r>
  <r>
    <s v="35-EVEN-K"/>
    <s v="35-EVEN-K"/>
    <x v="1"/>
    <x v="52"/>
  </r>
  <r>
    <s v="35-EVEN-C"/>
    <s v="35-EVEN-C"/>
    <x v="1"/>
    <x v="53"/>
  </r>
  <r>
    <s v="34-ODD-D"/>
    <s v="34-ODD-D"/>
    <x v="1"/>
    <x v="54"/>
  </r>
  <r>
    <s v="34-ODD-C"/>
    <s v="34-ODD-C"/>
    <x v="1"/>
    <x v="55"/>
  </r>
  <r>
    <s v="34-ODD-B"/>
    <s v="34-ODD-B"/>
    <x v="1"/>
    <x v="56"/>
  </r>
  <r>
    <s v="34-ODD-A"/>
    <s v="34-ODD-A"/>
    <x v="1"/>
    <x v="57"/>
  </r>
  <r>
    <s v="34-EVEN-K"/>
    <s v="34-EVEN-K"/>
    <x v="1"/>
    <x v="58"/>
  </r>
  <r>
    <s v="33-ODD-K"/>
    <s v="33-ODD-K"/>
    <x v="1"/>
    <x v="59"/>
  </r>
  <r>
    <s v="33-ODD-G"/>
    <s v="33-ODD-G"/>
    <x v="1"/>
    <x v="60"/>
  </r>
  <r>
    <s v="33-ODD-D"/>
    <s v="33-ODD-D"/>
    <x v="1"/>
    <x v="61"/>
  </r>
  <r>
    <s v="33-ODD-C"/>
    <e v="#N/A"/>
    <x v="1"/>
    <x v="0"/>
  </r>
  <r>
    <s v="33-ODD-B"/>
    <s v="33-ODD-B"/>
    <x v="1"/>
    <x v="62"/>
  </r>
  <r>
    <s v="33-ODD-A"/>
    <s v="33-ODD-A"/>
    <x v="1"/>
    <x v="63"/>
  </r>
  <r>
    <s v="33-EVEN-K"/>
    <s v="33-EVEN-K"/>
    <x v="1"/>
    <x v="64"/>
  </r>
  <r>
    <s v="33-EVEN-G"/>
    <s v="33-EVEN-G"/>
    <x v="1"/>
    <x v="65"/>
  </r>
  <r>
    <s v="33-EVEN-D"/>
    <s v="33-EVEN-D"/>
    <x v="1"/>
    <x v="66"/>
  </r>
  <r>
    <s v="33-EVEN-C"/>
    <s v="33-EVEN-C"/>
    <x v="1"/>
    <x v="67"/>
  </r>
  <r>
    <s v="33-EVEN-B"/>
    <s v="33-EVEN-B"/>
    <x v="1"/>
    <x v="68"/>
  </r>
  <r>
    <s v="33-EVEN-A"/>
    <s v="33-EVEN-A"/>
    <x v="1"/>
    <x v="69"/>
  </r>
  <r>
    <s v="32-ODD-G"/>
    <s v="32-ODD-G"/>
    <x v="1"/>
    <x v="70"/>
  </r>
  <r>
    <s v="32-ODD-D"/>
    <s v="32-ODD-D"/>
    <x v="1"/>
    <x v="71"/>
  </r>
  <r>
    <s v="32-ODD-C"/>
    <s v="32-ODD-C"/>
    <x v="1"/>
    <x v="72"/>
  </r>
  <r>
    <s v="32-ODD-B"/>
    <s v="32-ODD-B"/>
    <x v="1"/>
    <x v="73"/>
  </r>
  <r>
    <s v="32-ODD-A"/>
    <s v="32-ODD-A"/>
    <x v="1"/>
    <x v="74"/>
  </r>
  <r>
    <s v="32-EVEN-K"/>
    <s v="32-EVEN-K"/>
    <x v="1"/>
    <x v="75"/>
  </r>
  <r>
    <s v="32-EVEN-G"/>
    <s v="32-EVEN-G"/>
    <x v="1"/>
    <x v="76"/>
  </r>
  <r>
    <s v="32-EVEN-D"/>
    <s v="32-EVEN-D"/>
    <x v="1"/>
    <x v="77"/>
  </r>
  <r>
    <s v="32-EVEN-C"/>
    <s v="32-EVEN-C"/>
    <x v="1"/>
    <x v="78"/>
  </r>
  <r>
    <s v="32-EVEN-B"/>
    <s v="32-EVEN-B"/>
    <x v="1"/>
    <x v="79"/>
  </r>
  <r>
    <s v="32-EVEN-A"/>
    <s v="32-EVEN-A"/>
    <x v="1"/>
    <x v="80"/>
  </r>
  <r>
    <s v="31-ODD-K"/>
    <s v="31-ODD-K"/>
    <x v="1"/>
    <x v="81"/>
  </r>
  <r>
    <s v="31-ODD-G"/>
    <s v="31-ODD-G"/>
    <x v="1"/>
    <x v="82"/>
  </r>
  <r>
    <s v="31-ODD-D"/>
    <s v="31-ODD-D"/>
    <x v="1"/>
    <x v="83"/>
  </r>
  <r>
    <s v="31-ODD-C"/>
    <s v="31-ODD-C"/>
    <x v="1"/>
    <x v="84"/>
  </r>
  <r>
    <s v="31-ODD-B"/>
    <s v="31-ODD-B"/>
    <x v="1"/>
    <x v="85"/>
  </r>
  <r>
    <s v="31-ODD-A"/>
    <s v="31-ODD-A"/>
    <x v="1"/>
    <x v="86"/>
  </r>
  <r>
    <s v="31-EVEN-K"/>
    <s v="31-EVEN-K"/>
    <x v="1"/>
    <x v="87"/>
  </r>
  <r>
    <s v="31-EVEN-G"/>
    <s v="31-EVEN-G"/>
    <x v="1"/>
    <x v="88"/>
  </r>
  <r>
    <s v="31-EVEN-D"/>
    <s v="31-EVEN-D"/>
    <x v="1"/>
    <x v="89"/>
  </r>
  <r>
    <s v="31-EVEN-C"/>
    <s v="31-EVEN-C"/>
    <x v="1"/>
    <x v="90"/>
  </r>
  <r>
    <s v="31-EVEN-B"/>
    <s v="31-EVEN-B"/>
    <x v="1"/>
    <x v="91"/>
  </r>
  <r>
    <s v="31-EVEN-A"/>
    <s v="31-EVEN-A"/>
    <x v="1"/>
    <x v="92"/>
  </r>
  <r>
    <s v="30-ODD-K"/>
    <e v="#N/A"/>
    <x v="2"/>
    <x v="0"/>
  </r>
  <r>
    <s v="30-ODD-G"/>
    <s v="30-ODD-G"/>
    <x v="2"/>
    <x v="93"/>
  </r>
  <r>
    <s v="30-ODD-D"/>
    <s v="30-ODD-D"/>
    <x v="2"/>
    <x v="0"/>
  </r>
  <r>
    <s v="30-ODD-C"/>
    <s v="30-ODD-C"/>
    <x v="2"/>
    <x v="94"/>
  </r>
  <r>
    <s v="30-ODD-B"/>
    <s v="30-ODD-B"/>
    <x v="2"/>
    <x v="95"/>
  </r>
  <r>
    <s v="30-ODD-A"/>
    <s v="30-ODD-A"/>
    <x v="2"/>
    <x v="96"/>
  </r>
  <r>
    <s v="30-EVEN-K"/>
    <s v="30-EVEN-K"/>
    <x v="2"/>
    <x v="97"/>
  </r>
  <r>
    <s v="30-EVEN-G"/>
    <s v="30-EVEN-G"/>
    <x v="2"/>
    <x v="0"/>
  </r>
  <r>
    <s v="30-EVEN-D"/>
    <s v="30-EVEN-D"/>
    <x v="2"/>
    <x v="0"/>
  </r>
  <r>
    <s v="30-EVEN-C"/>
    <s v="30-EVEN-C"/>
    <x v="2"/>
    <x v="98"/>
  </r>
  <r>
    <s v="30-EVEN-B"/>
    <s v="30-EVEN-B"/>
    <x v="2"/>
    <x v="99"/>
  </r>
  <r>
    <s v="30-EVEN-A"/>
    <s v="30-EVEN-A"/>
    <x v="2"/>
    <x v="100"/>
  </r>
  <r>
    <s v="29-ODD-K"/>
    <s v="29-ODD-K"/>
    <x v="2"/>
    <x v="101"/>
  </r>
  <r>
    <s v="29-ODD-G"/>
    <s v="29-ODD-G"/>
    <x v="2"/>
    <x v="102"/>
  </r>
  <r>
    <s v="29-ODD-D"/>
    <s v="29-ODD-D"/>
    <x v="2"/>
    <x v="103"/>
  </r>
  <r>
    <s v="29-ODD-C"/>
    <s v="29-ODD-C"/>
    <x v="2"/>
    <x v="104"/>
  </r>
  <r>
    <s v="29-ODD-B"/>
    <s v="29-ODD-B"/>
    <x v="2"/>
    <x v="105"/>
  </r>
  <r>
    <s v="29-ODD-A"/>
    <s v="29-ODD-A"/>
    <x v="2"/>
    <x v="106"/>
  </r>
  <r>
    <s v="29-EVEN-K"/>
    <s v="29-EVEN-K"/>
    <x v="2"/>
    <x v="107"/>
  </r>
  <r>
    <s v="29-EVEN-G"/>
    <s v="29-EVEN-G"/>
    <x v="2"/>
    <x v="108"/>
  </r>
  <r>
    <s v="29-EVEN-D"/>
    <s v="29-EVEN-D"/>
    <x v="2"/>
    <x v="109"/>
  </r>
  <r>
    <s v="29-EVEN-C"/>
    <s v="29-EVEN-C"/>
    <x v="2"/>
    <x v="110"/>
  </r>
  <r>
    <s v="29-EVEN-B"/>
    <s v="29-EVEN-B"/>
    <x v="2"/>
    <x v="111"/>
  </r>
  <r>
    <s v="29-EVEN-A"/>
    <s v="29-EVEN-A"/>
    <x v="2"/>
    <x v="112"/>
  </r>
  <r>
    <s v="28-ODD-K"/>
    <s v="28-ODD-K"/>
    <x v="2"/>
    <x v="113"/>
  </r>
  <r>
    <s v="28-ODD-G"/>
    <s v="28-ODD-G"/>
    <x v="2"/>
    <x v="114"/>
  </r>
  <r>
    <s v="28-ODD-D"/>
    <s v="28-ODD-D"/>
    <x v="2"/>
    <x v="115"/>
  </r>
  <r>
    <s v="28-ODD-C"/>
    <s v="28-ODD-C"/>
    <x v="2"/>
    <x v="116"/>
  </r>
  <r>
    <s v="28-ODD-B"/>
    <s v="28-ODD-B"/>
    <x v="2"/>
    <x v="117"/>
  </r>
  <r>
    <s v="28-ODD-A"/>
    <s v="28-ODD-A"/>
    <x v="2"/>
    <x v="118"/>
  </r>
  <r>
    <s v="28-EVEN-K"/>
    <s v="28-EVEN-K"/>
    <x v="2"/>
    <x v="119"/>
  </r>
  <r>
    <s v="28-EVEN-G"/>
    <s v="28-EVEN-G"/>
    <x v="2"/>
    <x v="120"/>
  </r>
  <r>
    <s v="28-EVEN-D"/>
    <s v="28-EVEN-D"/>
    <x v="2"/>
    <x v="121"/>
  </r>
  <r>
    <s v="28-EVEN-C"/>
    <s v="28-EVEN-C"/>
    <x v="2"/>
    <x v="122"/>
  </r>
  <r>
    <s v="28-EVEN-B"/>
    <s v="28-EVEN-B"/>
    <x v="2"/>
    <x v="123"/>
  </r>
  <r>
    <s v="28-EVEN-A"/>
    <s v="28-EVEN-A"/>
    <x v="2"/>
    <x v="124"/>
  </r>
  <r>
    <s v="27-ODD-K"/>
    <s v="27-ODD-K"/>
    <x v="2"/>
    <x v="125"/>
  </r>
  <r>
    <s v="27-ODD-G"/>
    <s v="27-ODD-G"/>
    <x v="2"/>
    <x v="126"/>
  </r>
  <r>
    <s v="27-ODD-D"/>
    <s v="27-ODD-D"/>
    <x v="2"/>
    <x v="127"/>
  </r>
  <r>
    <s v="27-ODD-C"/>
    <s v="27-ODD-C"/>
    <x v="2"/>
    <x v="128"/>
  </r>
  <r>
    <s v="27-ODD-B"/>
    <s v="27-ODD-B"/>
    <x v="2"/>
    <x v="129"/>
  </r>
  <r>
    <s v="27-ODD-A"/>
    <s v="27-ODD-A"/>
    <x v="2"/>
    <x v="130"/>
  </r>
  <r>
    <s v="27-EVEN-K"/>
    <s v="27-EVEN-K"/>
    <x v="2"/>
    <x v="131"/>
  </r>
  <r>
    <s v="27-EVEN-G"/>
    <s v="27-EVEN-G"/>
    <x v="2"/>
    <x v="132"/>
  </r>
  <r>
    <s v="27-EVEN-D"/>
    <s v="27-EVEN-D"/>
    <x v="2"/>
    <x v="133"/>
  </r>
  <r>
    <s v="27-EVEN-C"/>
    <s v="27-EVEN-C"/>
    <x v="2"/>
    <x v="134"/>
  </r>
  <r>
    <s v="27-EVEN-B"/>
    <s v="27-EVEN-B"/>
    <x v="2"/>
    <x v="135"/>
  </r>
  <r>
    <s v="27-EVEN-A"/>
    <s v="27-EVEN-A"/>
    <x v="2"/>
    <x v="136"/>
  </r>
  <r>
    <s v="26-ODD-K"/>
    <s v="26-ODD-K"/>
    <x v="3"/>
    <x v="137"/>
  </r>
  <r>
    <s v="26-ODD-G"/>
    <s v="26-ODD-G"/>
    <x v="3"/>
    <x v="138"/>
  </r>
  <r>
    <s v="26-ODD-D"/>
    <s v="26-ODD-D"/>
    <x v="3"/>
    <x v="139"/>
  </r>
  <r>
    <s v="26-ODD-C"/>
    <s v="26-ODD-C"/>
    <x v="3"/>
    <x v="140"/>
  </r>
  <r>
    <s v="26-ODD-B"/>
    <s v="26-ODD-B"/>
    <x v="3"/>
    <x v="141"/>
  </r>
  <r>
    <s v="26-ODD-A"/>
    <s v="26-ODD-A"/>
    <x v="3"/>
    <x v="142"/>
  </r>
  <r>
    <s v="26-EVEN-K"/>
    <s v="26-EVEN-K"/>
    <x v="3"/>
    <x v="143"/>
  </r>
  <r>
    <s v="26-EVEN-G"/>
    <s v="26-EVEN-G"/>
    <x v="3"/>
    <x v="144"/>
  </r>
  <r>
    <s v="26-EVEN-D"/>
    <s v="26-EVEN-D"/>
    <x v="3"/>
    <x v="145"/>
  </r>
  <r>
    <s v="26-EVEN-C"/>
    <s v="26-EVEN-C"/>
    <x v="3"/>
    <x v="146"/>
  </r>
  <r>
    <s v="26-EVEN-B"/>
    <s v="26-EVEN-B"/>
    <x v="3"/>
    <x v="147"/>
  </r>
  <r>
    <s v="26-EVEN-A"/>
    <s v="26-EVEN-A"/>
    <x v="3"/>
    <x v="148"/>
  </r>
  <r>
    <s v="25-ODD-K"/>
    <s v="25-ODD-K"/>
    <x v="3"/>
    <x v="149"/>
  </r>
  <r>
    <s v="25-ODD-G"/>
    <s v="25-ODD-G"/>
    <x v="3"/>
    <x v="150"/>
  </r>
  <r>
    <s v="25-ODD-D"/>
    <s v="25-ODD-D"/>
    <x v="3"/>
    <x v="151"/>
  </r>
  <r>
    <s v="25-ODD-C"/>
    <s v="25-ODD-C"/>
    <x v="3"/>
    <x v="152"/>
  </r>
  <r>
    <s v="25-EVEN-K"/>
    <s v="25-EVEN-K"/>
    <x v="3"/>
    <x v="153"/>
  </r>
  <r>
    <s v="25-EVEN-G"/>
    <s v="25-EVEN-G"/>
    <x v="3"/>
    <x v="154"/>
  </r>
  <r>
    <s v="25-EVEN-D"/>
    <s v="25-EVEN-D"/>
    <x v="3"/>
    <x v="155"/>
  </r>
  <r>
    <s v="25-EVEN-C"/>
    <s v="25-EVEN-C"/>
    <x v="3"/>
    <x v="156"/>
  </r>
  <r>
    <s v="24-ODD-K"/>
    <s v="24-ODD-K"/>
    <x v="3"/>
    <x v="157"/>
  </r>
  <r>
    <s v="24-ODD-G"/>
    <s v="24-ODD-G"/>
    <x v="3"/>
    <x v="158"/>
  </r>
  <r>
    <s v="24-ODD-D"/>
    <s v="24-ODD-D"/>
    <x v="3"/>
    <x v="159"/>
  </r>
  <r>
    <s v="24-ODD-C"/>
    <s v="24-ODD-C"/>
    <x v="3"/>
    <x v="160"/>
  </r>
  <r>
    <s v="24-EVEN-K"/>
    <s v="24-EVEN-K"/>
    <x v="3"/>
    <x v="161"/>
  </r>
  <r>
    <s v="24-EVEN-G"/>
    <s v="24-EVEN-G"/>
    <x v="3"/>
    <x v="162"/>
  </r>
  <r>
    <s v="24-EVEN-D"/>
    <s v="24-EVEN-D"/>
    <x v="3"/>
    <x v="163"/>
  </r>
  <r>
    <s v="24-EVEN-C"/>
    <s v="24-EVEN-C"/>
    <x v="3"/>
    <x v="164"/>
  </r>
  <r>
    <s v="23-ODD-K"/>
    <s v="23-ODD-K"/>
    <x v="3"/>
    <x v="165"/>
  </r>
  <r>
    <s v="23-ODD-G"/>
    <s v="23-ODD-G"/>
    <x v="3"/>
    <x v="166"/>
  </r>
  <r>
    <s v="23-ODD-D"/>
    <s v="23-ODD-D"/>
    <x v="3"/>
    <x v="167"/>
  </r>
  <r>
    <s v="23-ODD-C"/>
    <s v="23-ODD-C"/>
    <x v="3"/>
    <x v="168"/>
  </r>
  <r>
    <s v="23-EVEN-K"/>
    <s v="23-EVEN-K"/>
    <x v="3"/>
    <x v="169"/>
  </r>
  <r>
    <s v="23-EVEN-G"/>
    <s v="23-EVEN-G"/>
    <x v="3"/>
    <x v="170"/>
  </r>
  <r>
    <s v="23-EVEN-D"/>
    <s v="23-EVEN-D"/>
    <x v="3"/>
    <x v="171"/>
  </r>
  <r>
    <s v="23-EVEN-C"/>
    <s v="23-EVEN-C"/>
    <x v="3"/>
    <x v="172"/>
  </r>
  <r>
    <s v="22-ODD-C"/>
    <s v="22-ODD-C"/>
    <x v="3"/>
    <x v="173"/>
  </r>
  <r>
    <s v="22-EVEN-K"/>
    <s v="22-EVEN-K"/>
    <x v="3"/>
    <x v="174"/>
  </r>
  <r>
    <s v="22-EVEN-G"/>
    <s v="22-EVEN-G"/>
    <x v="3"/>
    <x v="175"/>
  </r>
  <r>
    <s v="22-EVEN-D"/>
    <s v="22-EVEN-D"/>
    <x v="3"/>
    <x v="176"/>
  </r>
  <r>
    <s v="22-EVEN-C"/>
    <s v="22-EVEN-C"/>
    <x v="3"/>
    <x v="177"/>
  </r>
  <r>
    <s v="21-ODD-K"/>
    <s v="21-ODD-K"/>
    <x v="3"/>
    <x v="178"/>
  </r>
  <r>
    <s v="21-ODD-G"/>
    <s v="21-ODD-G"/>
    <x v="3"/>
    <x v="179"/>
  </r>
  <r>
    <s v="21-ODD-D"/>
    <s v="21-ODD-D"/>
    <x v="3"/>
    <x v="180"/>
  </r>
  <r>
    <s v="21-ODD-C"/>
    <s v="21-ODD-C"/>
    <x v="3"/>
    <x v="181"/>
  </r>
  <r>
    <s v="21-EVEN-D"/>
    <s v="21-EVEN-D"/>
    <x v="3"/>
    <x v="182"/>
  </r>
  <r>
    <m/>
    <m/>
    <x v="4"/>
    <x v="18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9" cacheId="3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F5:G11" firstHeaderRow="1" firstDataRow="1" firstDataCol="1"/>
  <pivotFields count="4">
    <pivotField dataField="1" showAll="0"/>
    <pivotField showAll="0"/>
    <pivotField axis="axisRow" showAll="0">
      <items count="6">
        <item x="3"/>
        <item x="2"/>
        <item x="1"/>
        <item x="0"/>
        <item x="4"/>
        <item t="default"/>
      </items>
    </pivotField>
    <pivotField showAll="0">
      <items count="185">
        <item h="1" x="182"/>
        <item h="1" x="181"/>
        <item h="1" x="180"/>
        <item h="1" x="179"/>
        <item h="1" x="178"/>
        <item h="1" x="177"/>
        <item h="1" x="176"/>
        <item h="1" x="175"/>
        <item h="1" x="174"/>
        <item h="1" x="173"/>
        <item h="1" x="172"/>
        <item h="1" x="171"/>
        <item h="1" x="170"/>
        <item h="1" x="169"/>
        <item h="1" x="168"/>
        <item h="1" x="167"/>
        <item h="1" x="166"/>
        <item h="1" x="165"/>
        <item h="1" x="164"/>
        <item h="1" x="163"/>
        <item h="1" x="162"/>
        <item h="1" x="161"/>
        <item h="1" x="160"/>
        <item h="1" x="159"/>
        <item h="1" x="158"/>
        <item h="1" x="157"/>
        <item h="1" x="156"/>
        <item h="1" x="155"/>
        <item h="1" x="154"/>
        <item h="1" x="153"/>
        <item h="1" x="152"/>
        <item h="1" x="151"/>
        <item h="1" x="150"/>
        <item h="1" x="149"/>
        <item h="1" x="148"/>
        <item h="1" x="147"/>
        <item h="1" x="146"/>
        <item h="1" x="145"/>
        <item h="1" x="144"/>
        <item h="1" x="143"/>
        <item h="1" x="142"/>
        <item h="1" x="141"/>
        <item h="1" x="140"/>
        <item h="1" x="139"/>
        <item h="1" x="138"/>
        <item h="1" x="137"/>
        <item h="1" x="136"/>
        <item h="1" x="135"/>
        <item h="1" x="134"/>
        <item h="1" x="133"/>
        <item h="1" x="132"/>
        <item h="1" x="131"/>
        <item h="1" x="130"/>
        <item h="1" x="129"/>
        <item h="1" x="128"/>
        <item h="1" x="127"/>
        <item h="1" x="126"/>
        <item h="1" x="125"/>
        <item h="1" x="124"/>
        <item h="1" x="123"/>
        <item h="1" x="122"/>
        <item h="1" x="121"/>
        <item h="1" x="120"/>
        <item h="1" x="119"/>
        <item h="1" x="118"/>
        <item h="1" x="117"/>
        <item h="1" x="116"/>
        <item h="1" x="115"/>
        <item h="1" x="114"/>
        <item h="1" x="113"/>
        <item h="1" x="112"/>
        <item h="1" x="111"/>
        <item h="1" x="110"/>
        <item h="1" x="109"/>
        <item h="1" x="108"/>
        <item h="1" x="107"/>
        <item h="1" x="106"/>
        <item h="1" x="105"/>
        <item h="1" x="104"/>
        <item h="1" x="103"/>
        <item h="1" x="102"/>
        <item h="1" x="101"/>
        <item h="1" x="100"/>
        <item h="1" x="99"/>
        <item h="1" x="98"/>
        <item h="1" x="97"/>
        <item h="1" x="96"/>
        <item h="1" x="95"/>
        <item h="1" x="94"/>
        <item h="1" x="93"/>
        <item h="1" x="92"/>
        <item h="1" x="91"/>
        <item h="1" x="90"/>
        <item h="1" x="89"/>
        <item h="1" x="88"/>
        <item h="1" x="87"/>
        <item h="1" x="86"/>
        <item h="1" x="85"/>
        <item h="1" x="84"/>
        <item h="1" x="83"/>
        <item h="1" x="82"/>
        <item h="1" x="81"/>
        <item h="1" x="80"/>
        <item h="1" x="79"/>
        <item h="1" x="78"/>
        <item h="1" x="77"/>
        <item h="1" x="76"/>
        <item h="1" x="75"/>
        <item h="1" x="74"/>
        <item h="1" x="73"/>
        <item h="1" x="72"/>
        <item h="1" x="71"/>
        <item h="1" x="70"/>
        <item h="1" x="69"/>
        <item h="1" x="68"/>
        <item h="1" x="67"/>
        <item h="1" x="66"/>
        <item h="1" x="65"/>
        <item h="1" x="64"/>
        <item h="1" x="63"/>
        <item h="1" x="62"/>
        <item h="1" x="61"/>
        <item h="1" x="60"/>
        <item h="1" x="59"/>
        <item h="1" x="58"/>
        <item h="1" x="57"/>
        <item h="1" x="56"/>
        <item h="1" x="55"/>
        <item h="1" x="54"/>
        <item h="1" x="53"/>
        <item h="1" x="52"/>
        <item h="1" x="51"/>
        <item h="1" x="50"/>
        <item h="1" x="49"/>
        <item h="1" x="48"/>
        <item h="1" x="47"/>
        <item h="1" x="46"/>
        <item h="1" x="45"/>
        <item h="1" x="44"/>
        <item h="1" x="43"/>
        <item h="1" x="42"/>
        <item h="1" x="41"/>
        <item h="1" x="40"/>
        <item h="1" x="39"/>
        <item h="1" x="38"/>
        <item h="1" x="37"/>
        <item h="1" x="36"/>
        <item h="1" x="35"/>
        <item h="1" x="34"/>
        <item h="1" x="33"/>
        <item h="1" x="32"/>
        <item h="1" x="31"/>
        <item h="1" x="30"/>
        <item h="1" x="29"/>
        <item h="1" x="28"/>
        <item h="1" x="27"/>
        <item h="1" x="26"/>
        <item h="1" x="25"/>
        <item h="1" x="24"/>
        <item h="1" x="23"/>
        <item h="1" x="22"/>
        <item h="1" x="21"/>
        <item h="1" x="20"/>
        <item h="1" x="19"/>
        <item h="1" x="18"/>
        <item h="1" x="17"/>
        <item h="1" x="16"/>
        <item h="1" x="15"/>
        <item h="1" x="14"/>
        <item h="1" x="13"/>
        <item h="1" x="12"/>
        <item h="1" x="11"/>
        <item h="1" x="10"/>
        <item h="1" x="9"/>
        <item h="1" x="8"/>
        <item h="1" x="7"/>
        <item h="1" x="6"/>
        <item h="1" x="5"/>
        <item h="1" x="4"/>
        <item h="1" x="3"/>
        <item h="1" x="2"/>
        <item h="1" x="1"/>
        <item x="0"/>
        <item h="1" x="183"/>
        <item t="default"/>
      </items>
    </pivotField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CountBook" fld="0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B12:H17"/>
  <sheetViews>
    <sheetView tabSelected="1" workbookViewId="0">
      <selection activeCell="E19" sqref="E19"/>
    </sheetView>
  </sheetViews>
  <sheetFormatPr defaultColWidth="11" defaultRowHeight="15.75"/>
  <cols>
    <col min="2" max="2" width="17.625" bestFit="1" customWidth="1"/>
  </cols>
  <sheetData>
    <row r="12" spans="2:8">
      <c r="H12" s="1"/>
    </row>
    <row r="14" spans="2:8">
      <c r="B14" s="70" t="s">
        <v>277</v>
      </c>
      <c r="C14" s="61" t="s">
        <v>284</v>
      </c>
    </row>
    <row r="15" spans="2:8">
      <c r="B15" s="70" t="s">
        <v>275</v>
      </c>
      <c r="C15" s="61" t="s">
        <v>283</v>
      </c>
    </row>
    <row r="16" spans="2:8">
      <c r="B16" s="70" t="s">
        <v>272</v>
      </c>
      <c r="C16" s="61" t="s">
        <v>282</v>
      </c>
    </row>
    <row r="17" spans="2:3">
      <c r="B17" s="70" t="s">
        <v>274</v>
      </c>
      <c r="C17" s="61" t="s">
        <v>281</v>
      </c>
    </row>
  </sheetData>
  <pageMargins left="0.75" right="0.75" top="1" bottom="1" header="0.5" footer="0.5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38100</xdr:colOff>
                    <xdr:row>1</xdr:row>
                    <xdr:rowOff>9525</xdr:rowOff>
                  </from>
                  <to>
                    <xdr:col>11</xdr:col>
                    <xdr:colOff>28575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2_Click">
                <anchor moveWithCells="1" sizeWithCells="1">
                  <from>
                    <xdr:col>1</xdr:col>
                    <xdr:colOff>38100</xdr:colOff>
                    <xdr:row>5</xdr:row>
                    <xdr:rowOff>142875</xdr:rowOff>
                  </from>
                  <to>
                    <xdr:col>11</xdr:col>
                    <xdr:colOff>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theme="5" tint="0.79998168889431442"/>
  </sheetPr>
  <dimension ref="A1:G190"/>
  <sheetViews>
    <sheetView workbookViewId="0">
      <selection activeCell="K4" sqref="K4"/>
    </sheetView>
  </sheetViews>
  <sheetFormatPr defaultColWidth="11" defaultRowHeight="15.75"/>
  <cols>
    <col min="1" max="1" width="14.875" style="61" customWidth="1"/>
    <col min="2" max="2" width="11.5" style="61" bestFit="1" customWidth="1"/>
    <col min="3" max="3" width="21.5" style="61" customWidth="1"/>
    <col min="4" max="4" width="8.75" style="61" bestFit="1" customWidth="1"/>
    <col min="5" max="5" width="3.75" style="61" bestFit="1" customWidth="1"/>
    <col min="6" max="6" width="3.75" style="61" customWidth="1"/>
    <col min="7" max="7" width="8.375" style="78" bestFit="1" customWidth="1"/>
  </cols>
  <sheetData>
    <row r="1" spans="1:7">
      <c r="A1" s="3" t="s">
        <v>4</v>
      </c>
      <c r="B1" s="3" t="s">
        <v>0</v>
      </c>
      <c r="C1" s="3" t="s">
        <v>1</v>
      </c>
      <c r="D1" s="3" t="s">
        <v>2</v>
      </c>
      <c r="E1" s="60" t="s">
        <v>267</v>
      </c>
      <c r="F1" s="76"/>
      <c r="G1" s="77" t="s">
        <v>276</v>
      </c>
    </row>
    <row r="2" spans="1:7">
      <c r="A2" s="61" t="s">
        <v>255</v>
      </c>
      <c r="B2" s="61">
        <v>22949</v>
      </c>
      <c r="C2" s="61" t="s">
        <v>55</v>
      </c>
      <c r="D2" s="62">
        <v>0.34722222222222227</v>
      </c>
      <c r="E2" s="61">
        <v>1</v>
      </c>
      <c r="G2" s="78">
        <v>42154</v>
      </c>
    </row>
    <row r="3" spans="1:7">
      <c r="A3" s="61" t="s">
        <v>260</v>
      </c>
      <c r="B3" s="61">
        <v>23153</v>
      </c>
      <c r="C3" s="61" t="s">
        <v>17</v>
      </c>
      <c r="D3" s="62">
        <v>0.34791666666666665</v>
      </c>
      <c r="E3" s="61">
        <v>2</v>
      </c>
      <c r="G3" s="78">
        <v>42154</v>
      </c>
    </row>
    <row r="4" spans="1:7">
      <c r="A4" s="61" t="s">
        <v>246</v>
      </c>
      <c r="B4" s="61">
        <v>23032</v>
      </c>
      <c r="C4" s="61" t="s">
        <v>53</v>
      </c>
      <c r="D4" s="62">
        <v>0.34791666666666665</v>
      </c>
      <c r="E4" s="61">
        <v>3</v>
      </c>
      <c r="G4" s="78">
        <v>42154</v>
      </c>
    </row>
    <row r="5" spans="1:7">
      <c r="A5" s="61" t="s">
        <v>250</v>
      </c>
      <c r="B5" s="61">
        <v>23135</v>
      </c>
      <c r="C5" s="61" t="s">
        <v>49</v>
      </c>
      <c r="D5" s="62">
        <v>0.34861111111111115</v>
      </c>
      <c r="E5" s="61">
        <v>4</v>
      </c>
      <c r="G5" s="78">
        <v>42154</v>
      </c>
    </row>
    <row r="6" spans="1:7">
      <c r="A6" s="61" t="s">
        <v>232</v>
      </c>
      <c r="B6" s="61">
        <v>11552</v>
      </c>
      <c r="C6" s="61" t="s">
        <v>60</v>
      </c>
      <c r="D6" s="62">
        <v>0.34930555555555554</v>
      </c>
      <c r="E6" s="61">
        <v>5</v>
      </c>
      <c r="G6" s="78">
        <v>42154</v>
      </c>
    </row>
    <row r="7" spans="1:7">
      <c r="A7" s="61" t="s">
        <v>236</v>
      </c>
      <c r="B7" s="61">
        <v>21360</v>
      </c>
      <c r="C7" s="61" t="s">
        <v>56</v>
      </c>
      <c r="D7" s="62">
        <v>0.34930555555555554</v>
      </c>
      <c r="E7" s="61">
        <v>6</v>
      </c>
      <c r="G7" s="78">
        <v>42154</v>
      </c>
    </row>
    <row r="8" spans="1:7">
      <c r="A8" s="61" t="s">
        <v>202</v>
      </c>
      <c r="B8" s="61">
        <v>21575</v>
      </c>
      <c r="C8" s="61" t="s">
        <v>48</v>
      </c>
      <c r="D8" s="62">
        <v>0.35625000000000001</v>
      </c>
      <c r="E8" s="61">
        <v>7</v>
      </c>
      <c r="G8" s="78">
        <v>42154</v>
      </c>
    </row>
    <row r="9" spans="1:7">
      <c r="A9" s="61" t="s">
        <v>195</v>
      </c>
      <c r="B9" s="61">
        <v>10976</v>
      </c>
      <c r="C9" s="61" t="s">
        <v>73</v>
      </c>
      <c r="D9" s="62">
        <v>0.35694444444444445</v>
      </c>
      <c r="E9" s="61">
        <v>8</v>
      </c>
      <c r="G9" s="78">
        <v>42154</v>
      </c>
    </row>
    <row r="10" spans="1:7">
      <c r="A10" s="63" t="s">
        <v>115</v>
      </c>
      <c r="B10" s="63">
        <v>23028</v>
      </c>
      <c r="C10" s="63" t="s">
        <v>13</v>
      </c>
      <c r="D10" s="64">
        <v>0.35694444444444445</v>
      </c>
      <c r="E10" s="61">
        <v>9</v>
      </c>
      <c r="G10" s="78">
        <v>42154</v>
      </c>
    </row>
    <row r="11" spans="1:7">
      <c r="A11" s="63" t="s">
        <v>112</v>
      </c>
      <c r="B11" s="63">
        <v>23028</v>
      </c>
      <c r="C11" s="63" t="s">
        <v>13</v>
      </c>
      <c r="D11" s="64">
        <v>0.35694444444444445</v>
      </c>
      <c r="E11" s="61">
        <v>10</v>
      </c>
      <c r="G11" s="78">
        <v>42154</v>
      </c>
    </row>
    <row r="12" spans="1:7">
      <c r="A12" s="63" t="s">
        <v>116</v>
      </c>
      <c r="B12" s="63">
        <v>23028</v>
      </c>
      <c r="C12" s="63" t="s">
        <v>13</v>
      </c>
      <c r="D12" s="64">
        <v>0.35694444444444445</v>
      </c>
      <c r="E12" s="61">
        <v>11</v>
      </c>
      <c r="G12" s="78">
        <v>42154</v>
      </c>
    </row>
    <row r="13" spans="1:7">
      <c r="A13" s="63" t="s">
        <v>114</v>
      </c>
      <c r="B13" s="63">
        <v>23028</v>
      </c>
      <c r="C13" s="63" t="s">
        <v>13</v>
      </c>
      <c r="D13" s="64">
        <v>0.35694444444444445</v>
      </c>
      <c r="E13" s="61">
        <v>12</v>
      </c>
      <c r="G13" s="78">
        <v>42154</v>
      </c>
    </row>
    <row r="14" spans="1:7">
      <c r="A14" s="61" t="s">
        <v>230</v>
      </c>
      <c r="B14" s="61">
        <v>23007</v>
      </c>
      <c r="C14" s="61" t="s">
        <v>75</v>
      </c>
      <c r="D14" s="62">
        <v>0.3576388888888889</v>
      </c>
      <c r="E14" s="61">
        <v>13</v>
      </c>
      <c r="G14" s="78">
        <v>42154</v>
      </c>
    </row>
    <row r="15" spans="1:7">
      <c r="A15" s="63" t="s">
        <v>113</v>
      </c>
      <c r="B15" s="63">
        <v>23028</v>
      </c>
      <c r="C15" s="63" t="s">
        <v>13</v>
      </c>
      <c r="D15" s="64">
        <v>0.3576388888888889</v>
      </c>
      <c r="E15" s="61">
        <v>14</v>
      </c>
      <c r="G15" s="78">
        <v>42154</v>
      </c>
    </row>
    <row r="16" spans="1:7">
      <c r="A16" s="63" t="s">
        <v>137</v>
      </c>
      <c r="B16" s="63">
        <v>20673</v>
      </c>
      <c r="C16" s="63" t="s">
        <v>52</v>
      </c>
      <c r="D16" s="64">
        <v>0.3576388888888889</v>
      </c>
      <c r="E16" s="61">
        <v>15</v>
      </c>
      <c r="G16" s="78">
        <v>42154</v>
      </c>
    </row>
    <row r="17" spans="1:7">
      <c r="A17" s="63" t="s">
        <v>205</v>
      </c>
      <c r="B17" s="63">
        <v>23213</v>
      </c>
      <c r="C17" s="63" t="s">
        <v>72</v>
      </c>
      <c r="D17" s="64">
        <v>0.3576388888888889</v>
      </c>
      <c r="E17" s="61">
        <v>16</v>
      </c>
      <c r="G17" s="78">
        <v>42154</v>
      </c>
    </row>
    <row r="18" spans="1:7">
      <c r="A18" s="63" t="s">
        <v>144</v>
      </c>
      <c r="B18" s="63">
        <v>22923</v>
      </c>
      <c r="C18" s="63" t="s">
        <v>23</v>
      </c>
      <c r="D18" s="64">
        <v>0.3576388888888889</v>
      </c>
      <c r="E18" s="61">
        <v>17</v>
      </c>
      <c r="G18" s="78">
        <v>42154</v>
      </c>
    </row>
    <row r="19" spans="1:7">
      <c r="A19" s="63" t="s">
        <v>124</v>
      </c>
      <c r="B19" s="63">
        <v>23031</v>
      </c>
      <c r="C19" s="63" t="s">
        <v>15</v>
      </c>
      <c r="D19" s="64">
        <v>0.3576388888888889</v>
      </c>
      <c r="E19" s="61">
        <v>18</v>
      </c>
      <c r="G19" s="78">
        <v>42154</v>
      </c>
    </row>
    <row r="20" spans="1:7">
      <c r="A20" s="61" t="s">
        <v>190</v>
      </c>
      <c r="B20" s="61">
        <v>23335</v>
      </c>
      <c r="C20" s="61" t="s">
        <v>37</v>
      </c>
      <c r="D20" s="62">
        <v>0.35833333333333334</v>
      </c>
      <c r="E20" s="61">
        <v>19</v>
      </c>
      <c r="G20" s="78">
        <v>42154</v>
      </c>
    </row>
    <row r="21" spans="1:7">
      <c r="A21" s="61" t="s">
        <v>209</v>
      </c>
      <c r="B21" s="61">
        <v>23213</v>
      </c>
      <c r="C21" s="61" t="s">
        <v>72</v>
      </c>
      <c r="D21" s="62">
        <v>0.35833333333333334</v>
      </c>
      <c r="E21" s="61">
        <v>20</v>
      </c>
      <c r="G21" s="78">
        <v>42154</v>
      </c>
    </row>
    <row r="22" spans="1:7">
      <c r="A22" s="61" t="s">
        <v>216</v>
      </c>
      <c r="B22" s="61">
        <v>23195</v>
      </c>
      <c r="C22" s="61" t="s">
        <v>42</v>
      </c>
      <c r="D22" s="62">
        <v>0.35902777777777778</v>
      </c>
      <c r="E22" s="61">
        <v>21</v>
      </c>
      <c r="G22" s="78">
        <v>42154</v>
      </c>
    </row>
    <row r="23" spans="1:7">
      <c r="A23" s="61" t="s">
        <v>198</v>
      </c>
      <c r="B23" s="61">
        <v>22926</v>
      </c>
      <c r="C23" s="61" t="s">
        <v>45</v>
      </c>
      <c r="D23" s="62">
        <v>0.35902777777777778</v>
      </c>
      <c r="E23" s="61">
        <v>22</v>
      </c>
      <c r="G23" s="78">
        <v>42154</v>
      </c>
    </row>
    <row r="24" spans="1:7">
      <c r="A24" s="61" t="s">
        <v>224</v>
      </c>
      <c r="B24" s="61">
        <v>23007</v>
      </c>
      <c r="C24" s="61" t="s">
        <v>75</v>
      </c>
      <c r="D24" s="62">
        <v>0.36249999999999999</v>
      </c>
      <c r="E24" s="61">
        <v>23</v>
      </c>
      <c r="G24" s="78">
        <v>42154</v>
      </c>
    </row>
    <row r="25" spans="1:7">
      <c r="A25" s="61" t="s">
        <v>223</v>
      </c>
      <c r="B25" s="61">
        <v>23007</v>
      </c>
      <c r="C25" s="61" t="s">
        <v>75</v>
      </c>
      <c r="D25" s="62">
        <v>0.36319444444444443</v>
      </c>
      <c r="E25" s="61">
        <v>24</v>
      </c>
      <c r="G25" s="78">
        <v>42154</v>
      </c>
    </row>
    <row r="26" spans="1:7">
      <c r="A26" s="61" t="s">
        <v>222</v>
      </c>
      <c r="B26" s="61">
        <v>23007</v>
      </c>
      <c r="C26" s="61" t="s">
        <v>75</v>
      </c>
      <c r="D26" s="62">
        <v>0.36319444444444443</v>
      </c>
      <c r="E26" s="61">
        <v>25</v>
      </c>
      <c r="G26" s="78">
        <v>42154</v>
      </c>
    </row>
    <row r="27" spans="1:7">
      <c r="A27" s="61" t="s">
        <v>225</v>
      </c>
      <c r="B27" s="61">
        <v>23007</v>
      </c>
      <c r="C27" s="61" t="s">
        <v>75</v>
      </c>
      <c r="D27" s="62">
        <v>0.36319444444444443</v>
      </c>
      <c r="E27" s="61">
        <v>26</v>
      </c>
      <c r="G27" s="78">
        <v>42154</v>
      </c>
    </row>
    <row r="28" spans="1:7">
      <c r="A28" s="61" t="s">
        <v>229</v>
      </c>
      <c r="B28" s="61">
        <v>23007</v>
      </c>
      <c r="C28" s="61" t="s">
        <v>75</v>
      </c>
      <c r="D28" s="62">
        <v>0.36319444444444443</v>
      </c>
      <c r="E28" s="61">
        <v>27</v>
      </c>
      <c r="G28" s="78">
        <v>42154</v>
      </c>
    </row>
    <row r="29" spans="1:7">
      <c r="A29" s="61" t="s">
        <v>226</v>
      </c>
      <c r="B29" s="61">
        <v>23007</v>
      </c>
      <c r="C29" s="61" t="s">
        <v>75</v>
      </c>
      <c r="D29" s="62">
        <v>0.36319444444444443</v>
      </c>
      <c r="E29" s="61">
        <v>28</v>
      </c>
      <c r="G29" s="78">
        <v>42154</v>
      </c>
    </row>
    <row r="30" spans="1:7">
      <c r="A30" s="61" t="s">
        <v>228</v>
      </c>
      <c r="B30" s="61">
        <v>23007</v>
      </c>
      <c r="C30" s="61" t="s">
        <v>75</v>
      </c>
      <c r="D30" s="62">
        <v>0.36319444444444443</v>
      </c>
      <c r="E30" s="61">
        <v>29</v>
      </c>
      <c r="G30" s="78">
        <v>42154</v>
      </c>
    </row>
    <row r="31" spans="1:7">
      <c r="A31" s="61" t="s">
        <v>227</v>
      </c>
      <c r="B31" s="61">
        <v>23007</v>
      </c>
      <c r="C31" s="61" t="s">
        <v>75</v>
      </c>
      <c r="D31" s="62">
        <v>0.36319444444444443</v>
      </c>
      <c r="E31" s="61">
        <v>30</v>
      </c>
      <c r="G31" s="78">
        <v>42154</v>
      </c>
    </row>
    <row r="32" spans="1:7">
      <c r="A32" s="61" t="s">
        <v>234</v>
      </c>
      <c r="B32" s="61">
        <v>23007</v>
      </c>
      <c r="C32" s="61" t="s">
        <v>75</v>
      </c>
      <c r="D32" s="62">
        <v>0.36319444444444443</v>
      </c>
      <c r="E32" s="61">
        <v>31</v>
      </c>
      <c r="G32" s="78">
        <v>42154</v>
      </c>
    </row>
    <row r="33" spans="1:7">
      <c r="A33" s="61" t="s">
        <v>231</v>
      </c>
      <c r="B33" s="61">
        <v>23007</v>
      </c>
      <c r="C33" s="61" t="s">
        <v>75</v>
      </c>
      <c r="D33" s="62">
        <v>0.36388888888888887</v>
      </c>
      <c r="E33" s="61">
        <v>32</v>
      </c>
      <c r="G33" s="78">
        <v>42154</v>
      </c>
    </row>
    <row r="34" spans="1:7">
      <c r="A34" s="61" t="s">
        <v>76</v>
      </c>
      <c r="B34" s="61">
        <v>22923</v>
      </c>
      <c r="C34" s="61" t="s">
        <v>23</v>
      </c>
      <c r="D34" s="62">
        <v>0.39444444444444443</v>
      </c>
      <c r="E34" s="61">
        <v>33</v>
      </c>
      <c r="G34" s="78">
        <v>42154</v>
      </c>
    </row>
    <row r="35" spans="1:7">
      <c r="A35" s="61" t="s">
        <v>218</v>
      </c>
      <c r="B35" s="61">
        <v>23213</v>
      </c>
      <c r="C35" s="61" t="s">
        <v>72</v>
      </c>
      <c r="D35" s="62">
        <v>0.39513888888888887</v>
      </c>
      <c r="E35" s="61">
        <v>34</v>
      </c>
      <c r="G35" s="78">
        <v>42154</v>
      </c>
    </row>
    <row r="36" spans="1:7">
      <c r="A36" s="61" t="s">
        <v>77</v>
      </c>
      <c r="B36" s="61">
        <v>23213</v>
      </c>
      <c r="C36" s="61" t="s">
        <v>72</v>
      </c>
      <c r="D36" s="62">
        <v>0.39513888888888887</v>
      </c>
      <c r="E36" s="61">
        <v>35</v>
      </c>
      <c r="G36" s="78">
        <v>42154</v>
      </c>
    </row>
    <row r="37" spans="1:7">
      <c r="A37" s="61" t="s">
        <v>78</v>
      </c>
      <c r="B37" s="61">
        <v>23097</v>
      </c>
      <c r="C37" s="61" t="s">
        <v>68</v>
      </c>
      <c r="D37" s="62">
        <v>0.39583333333333331</v>
      </c>
      <c r="E37" s="61">
        <v>36</v>
      </c>
      <c r="G37" s="78">
        <v>42154</v>
      </c>
    </row>
    <row r="38" spans="1:7">
      <c r="A38" s="63" t="s">
        <v>117</v>
      </c>
      <c r="B38" s="63">
        <v>23028</v>
      </c>
      <c r="C38" s="63" t="s">
        <v>13</v>
      </c>
      <c r="D38" s="64">
        <v>0.39652777777777781</v>
      </c>
      <c r="E38" s="61">
        <v>37</v>
      </c>
      <c r="G38" s="78">
        <v>42154</v>
      </c>
    </row>
    <row r="39" spans="1:7">
      <c r="A39" s="63" t="s">
        <v>130</v>
      </c>
      <c r="B39" s="63">
        <v>22939</v>
      </c>
      <c r="C39" s="63" t="s">
        <v>57</v>
      </c>
      <c r="D39" s="64">
        <v>0.3972222222222222</v>
      </c>
      <c r="E39" s="61">
        <v>38</v>
      </c>
      <c r="G39" s="78">
        <v>42154</v>
      </c>
    </row>
    <row r="40" spans="1:7">
      <c r="A40" s="61" t="s">
        <v>79</v>
      </c>
      <c r="B40" s="61">
        <v>23031</v>
      </c>
      <c r="C40" s="61" t="s">
        <v>15</v>
      </c>
      <c r="D40" s="62">
        <v>0.3979166666666667</v>
      </c>
      <c r="E40" s="61">
        <v>39</v>
      </c>
      <c r="G40" s="78">
        <v>42154</v>
      </c>
    </row>
    <row r="41" spans="1:7">
      <c r="A41" s="61" t="s">
        <v>80</v>
      </c>
      <c r="B41" s="61">
        <v>23028</v>
      </c>
      <c r="C41" s="61" t="s">
        <v>13</v>
      </c>
      <c r="D41" s="62">
        <v>0.39861111111111108</v>
      </c>
      <c r="E41" s="61">
        <v>40</v>
      </c>
      <c r="G41" s="78">
        <v>42154</v>
      </c>
    </row>
    <row r="42" spans="1:7">
      <c r="A42" s="61" t="s">
        <v>81</v>
      </c>
      <c r="B42" s="61">
        <v>22939</v>
      </c>
      <c r="C42" s="61" t="s">
        <v>57</v>
      </c>
      <c r="D42" s="62">
        <v>0.40069444444444446</v>
      </c>
      <c r="E42" s="61">
        <v>41</v>
      </c>
      <c r="G42" s="78">
        <v>42154</v>
      </c>
    </row>
    <row r="43" spans="1:7">
      <c r="A43" s="61" t="s">
        <v>82</v>
      </c>
      <c r="B43" s="61">
        <v>23335</v>
      </c>
      <c r="C43" s="61" t="s">
        <v>37</v>
      </c>
      <c r="D43" s="62">
        <v>0.40208333333333335</v>
      </c>
      <c r="E43" s="61">
        <v>42</v>
      </c>
      <c r="G43" s="78">
        <v>42154</v>
      </c>
    </row>
    <row r="44" spans="1:7">
      <c r="A44" s="61" t="s">
        <v>83</v>
      </c>
      <c r="B44" s="61">
        <v>23007</v>
      </c>
      <c r="C44" s="61" t="s">
        <v>75</v>
      </c>
      <c r="D44" s="62">
        <v>0.40486111111111112</v>
      </c>
      <c r="E44" s="61">
        <v>43</v>
      </c>
      <c r="G44" s="78">
        <v>42154</v>
      </c>
    </row>
    <row r="45" spans="1:7">
      <c r="A45" s="61" t="s">
        <v>84</v>
      </c>
      <c r="B45" s="61">
        <v>23195</v>
      </c>
      <c r="C45" s="61" t="s">
        <v>42</v>
      </c>
      <c r="D45" s="62">
        <v>0.40625</v>
      </c>
      <c r="E45" s="61">
        <v>44</v>
      </c>
      <c r="G45" s="78">
        <v>42154</v>
      </c>
    </row>
    <row r="46" spans="1:7">
      <c r="A46" s="61" t="s">
        <v>85</v>
      </c>
      <c r="B46" s="61">
        <v>23189</v>
      </c>
      <c r="C46" s="61" t="s">
        <v>71</v>
      </c>
      <c r="D46" s="62">
        <v>0.40763888888888888</v>
      </c>
      <c r="E46" s="61">
        <v>45</v>
      </c>
      <c r="G46" s="78">
        <v>42154</v>
      </c>
    </row>
    <row r="47" spans="1:7">
      <c r="A47" s="63" t="s">
        <v>160</v>
      </c>
      <c r="B47" s="63">
        <v>23189</v>
      </c>
      <c r="C47" s="63" t="s">
        <v>71</v>
      </c>
      <c r="D47" s="64">
        <v>0.40763888888888888</v>
      </c>
      <c r="E47" s="61">
        <v>46</v>
      </c>
      <c r="G47" s="78">
        <v>42154</v>
      </c>
    </row>
    <row r="48" spans="1:7">
      <c r="A48" s="61" t="s">
        <v>86</v>
      </c>
      <c r="B48" s="61">
        <v>22949</v>
      </c>
      <c r="C48" s="61" t="s">
        <v>55</v>
      </c>
      <c r="D48" s="62">
        <v>0.41041666666666665</v>
      </c>
      <c r="E48" s="61">
        <v>47</v>
      </c>
      <c r="G48" s="78">
        <v>42154</v>
      </c>
    </row>
    <row r="49" spans="1:7">
      <c r="A49" s="63" t="s">
        <v>136</v>
      </c>
      <c r="B49" s="63">
        <v>20673</v>
      </c>
      <c r="C49" s="63" t="s">
        <v>52</v>
      </c>
      <c r="D49" s="64">
        <v>0.41111111111111115</v>
      </c>
      <c r="E49" s="61">
        <v>48</v>
      </c>
      <c r="G49" s="78">
        <v>42154</v>
      </c>
    </row>
    <row r="50" spans="1:7">
      <c r="A50" s="61" t="s">
        <v>87</v>
      </c>
      <c r="B50" s="61">
        <v>22926</v>
      </c>
      <c r="C50" s="61" t="s">
        <v>45</v>
      </c>
      <c r="D50" s="62">
        <v>0.4152777777777778</v>
      </c>
      <c r="E50" s="61">
        <v>49</v>
      </c>
      <c r="G50" s="78">
        <v>42154</v>
      </c>
    </row>
    <row r="51" spans="1:7">
      <c r="A51" s="63" t="s">
        <v>139</v>
      </c>
      <c r="B51" s="63">
        <v>22635</v>
      </c>
      <c r="C51" s="63" t="s">
        <v>33</v>
      </c>
      <c r="D51" s="64">
        <v>0.41597222222222219</v>
      </c>
      <c r="E51" s="61">
        <v>50</v>
      </c>
      <c r="G51" s="78">
        <v>42154</v>
      </c>
    </row>
    <row r="52" spans="1:7">
      <c r="A52" s="61" t="s">
        <v>88</v>
      </c>
      <c r="B52" s="61">
        <v>10976</v>
      </c>
      <c r="C52" s="61" t="s">
        <v>73</v>
      </c>
      <c r="D52" s="62">
        <v>0.4375</v>
      </c>
      <c r="E52" s="61">
        <v>51</v>
      </c>
      <c r="G52" s="78">
        <v>42154</v>
      </c>
    </row>
    <row r="53" spans="1:7">
      <c r="A53" s="61" t="s">
        <v>89</v>
      </c>
      <c r="B53" s="61">
        <v>23335</v>
      </c>
      <c r="C53" s="61" t="s">
        <v>37</v>
      </c>
      <c r="D53" s="62">
        <v>0.4381944444444445</v>
      </c>
      <c r="E53" s="61">
        <v>52</v>
      </c>
      <c r="G53" s="78">
        <v>42154</v>
      </c>
    </row>
    <row r="54" spans="1:7">
      <c r="A54" s="61" t="s">
        <v>90</v>
      </c>
      <c r="B54" s="61">
        <v>21262</v>
      </c>
      <c r="C54" s="61" t="s">
        <v>50</v>
      </c>
      <c r="D54" s="62">
        <v>0.43958333333333338</v>
      </c>
      <c r="E54" s="61">
        <v>53</v>
      </c>
      <c r="G54" s="78">
        <v>42154</v>
      </c>
    </row>
    <row r="55" spans="1:7">
      <c r="A55" s="61" t="s">
        <v>91</v>
      </c>
      <c r="B55" s="61">
        <v>23189</v>
      </c>
      <c r="C55" s="61" t="s">
        <v>71</v>
      </c>
      <c r="D55" s="62">
        <v>0.44166666666666665</v>
      </c>
      <c r="E55" s="61">
        <v>54</v>
      </c>
      <c r="G55" s="78">
        <v>42154</v>
      </c>
    </row>
    <row r="56" spans="1:7">
      <c r="A56" s="63" t="s">
        <v>159</v>
      </c>
      <c r="B56" s="63">
        <v>20675</v>
      </c>
      <c r="C56" s="63" t="s">
        <v>28</v>
      </c>
      <c r="D56" s="62">
        <v>0.44166666666666665</v>
      </c>
      <c r="E56" s="61">
        <v>55</v>
      </c>
      <c r="G56" s="78">
        <v>42154</v>
      </c>
    </row>
    <row r="57" spans="1:7">
      <c r="A57" s="63" t="s">
        <v>161</v>
      </c>
      <c r="B57" s="63">
        <v>21083</v>
      </c>
      <c r="C57" s="63" t="s">
        <v>31</v>
      </c>
      <c r="D57" s="62">
        <v>0.44166666666666665</v>
      </c>
      <c r="E57" s="61">
        <v>56</v>
      </c>
      <c r="G57" s="78">
        <v>42154</v>
      </c>
    </row>
    <row r="58" spans="1:7">
      <c r="A58" s="63" t="s">
        <v>165</v>
      </c>
      <c r="B58" s="63">
        <v>23150</v>
      </c>
      <c r="C58" s="63" t="s">
        <v>35</v>
      </c>
      <c r="D58" s="62">
        <v>0.44166666666666665</v>
      </c>
      <c r="E58" s="61">
        <v>57</v>
      </c>
      <c r="G58" s="78">
        <v>42154</v>
      </c>
    </row>
    <row r="59" spans="1:7">
      <c r="A59" s="61" t="s">
        <v>92</v>
      </c>
      <c r="B59" s="61">
        <v>22635</v>
      </c>
      <c r="C59" s="61" t="s">
        <v>33</v>
      </c>
      <c r="D59" s="62">
        <v>0.44236111111111115</v>
      </c>
      <c r="E59" s="61">
        <v>58</v>
      </c>
      <c r="G59" s="78">
        <v>42154</v>
      </c>
    </row>
    <row r="60" spans="1:7">
      <c r="A60" s="61" t="s">
        <v>93</v>
      </c>
      <c r="B60" s="61">
        <v>20675</v>
      </c>
      <c r="C60" s="61" t="s">
        <v>28</v>
      </c>
      <c r="D60" s="62">
        <v>0.44236111111111115</v>
      </c>
      <c r="E60" s="61">
        <v>59</v>
      </c>
      <c r="G60" s="78">
        <v>42154</v>
      </c>
    </row>
    <row r="61" spans="1:7">
      <c r="A61" s="61" t="s">
        <v>94</v>
      </c>
      <c r="B61" s="61">
        <v>22923</v>
      </c>
      <c r="C61" s="61" t="s">
        <v>23</v>
      </c>
      <c r="D61" s="62">
        <v>0.44722222222222219</v>
      </c>
      <c r="E61" s="61">
        <v>60</v>
      </c>
      <c r="G61" s="78">
        <v>42154</v>
      </c>
    </row>
    <row r="62" spans="1:7">
      <c r="A62" s="61" t="s">
        <v>97</v>
      </c>
      <c r="B62" s="61">
        <v>23335</v>
      </c>
      <c r="C62" s="61" t="s">
        <v>37</v>
      </c>
      <c r="D62" s="62">
        <v>0.45694444444444443</v>
      </c>
      <c r="E62" s="61">
        <v>61</v>
      </c>
      <c r="G62" s="78">
        <v>42154</v>
      </c>
    </row>
    <row r="63" spans="1:7">
      <c r="A63" s="61" t="s">
        <v>98</v>
      </c>
      <c r="B63" s="61">
        <v>21083</v>
      </c>
      <c r="C63" s="61" t="s">
        <v>31</v>
      </c>
      <c r="D63" s="62">
        <v>0.45763888888888887</v>
      </c>
      <c r="E63" s="61">
        <v>62</v>
      </c>
      <c r="G63" s="78">
        <v>42154</v>
      </c>
    </row>
    <row r="64" spans="1:7">
      <c r="A64" s="61" t="s">
        <v>100</v>
      </c>
      <c r="B64" s="61">
        <v>23376</v>
      </c>
      <c r="C64" s="61" t="s">
        <v>54</v>
      </c>
      <c r="D64" s="62">
        <v>0.46180555555555558</v>
      </c>
      <c r="E64" s="61">
        <v>63</v>
      </c>
      <c r="G64" s="78">
        <v>42154</v>
      </c>
    </row>
    <row r="65" spans="1:7">
      <c r="A65" s="61" t="s">
        <v>102</v>
      </c>
      <c r="B65" s="61">
        <v>23032</v>
      </c>
      <c r="C65" s="61" t="s">
        <v>53</v>
      </c>
      <c r="D65" s="62">
        <v>0.46249999999999997</v>
      </c>
      <c r="E65" s="61">
        <v>64</v>
      </c>
      <c r="G65" s="78">
        <v>42154</v>
      </c>
    </row>
    <row r="66" spans="1:7">
      <c r="A66" s="61" t="s">
        <v>103</v>
      </c>
      <c r="B66" s="61">
        <v>22816</v>
      </c>
      <c r="C66" s="61" t="s">
        <v>19</v>
      </c>
      <c r="D66" s="62">
        <v>0.46388888888888885</v>
      </c>
      <c r="E66" s="61">
        <v>65</v>
      </c>
      <c r="G66" s="78">
        <v>42154</v>
      </c>
    </row>
    <row r="67" spans="1:7">
      <c r="A67" s="61" t="s">
        <v>104</v>
      </c>
      <c r="B67" s="61">
        <v>22926</v>
      </c>
      <c r="C67" s="61" t="s">
        <v>45</v>
      </c>
      <c r="D67" s="62">
        <v>0.46458333333333335</v>
      </c>
      <c r="E67" s="61">
        <v>66</v>
      </c>
      <c r="G67" s="78">
        <v>42154</v>
      </c>
    </row>
    <row r="68" spans="1:7">
      <c r="A68" s="61" t="s">
        <v>105</v>
      </c>
      <c r="B68" s="61">
        <v>23195</v>
      </c>
      <c r="C68" s="61" t="s">
        <v>42</v>
      </c>
      <c r="D68" s="62">
        <v>0.46527777777777773</v>
      </c>
      <c r="E68" s="61">
        <v>67</v>
      </c>
      <c r="G68" s="78">
        <v>42154</v>
      </c>
    </row>
    <row r="69" spans="1:7">
      <c r="A69" s="61" t="s">
        <v>106</v>
      </c>
      <c r="B69" s="61">
        <v>23135</v>
      </c>
      <c r="C69" s="61" t="s">
        <v>49</v>
      </c>
      <c r="D69" s="62">
        <v>0.46597222222222223</v>
      </c>
      <c r="E69" s="61">
        <v>68</v>
      </c>
      <c r="G69" s="78">
        <v>42154</v>
      </c>
    </row>
    <row r="70" spans="1:7">
      <c r="A70" s="61" t="s">
        <v>107</v>
      </c>
      <c r="B70" s="61">
        <v>23189</v>
      </c>
      <c r="C70" s="61" t="s">
        <v>71</v>
      </c>
      <c r="D70" s="62">
        <v>0.46597222222222223</v>
      </c>
      <c r="E70" s="61">
        <v>69</v>
      </c>
      <c r="G70" s="78">
        <v>42154</v>
      </c>
    </row>
    <row r="71" spans="1:7">
      <c r="A71" s="61" t="s">
        <v>108</v>
      </c>
      <c r="B71" s="61">
        <v>23028</v>
      </c>
      <c r="C71" s="61" t="s">
        <v>13</v>
      </c>
      <c r="D71" s="62">
        <v>0.46666666666666662</v>
      </c>
      <c r="E71" s="61">
        <v>70</v>
      </c>
      <c r="G71" s="78">
        <v>42154</v>
      </c>
    </row>
    <row r="72" spans="1:7">
      <c r="A72" s="61" t="s">
        <v>109</v>
      </c>
      <c r="B72" s="61">
        <v>23031</v>
      </c>
      <c r="C72" s="61" t="s">
        <v>15</v>
      </c>
      <c r="D72" s="62">
        <v>0.4694444444444445</v>
      </c>
      <c r="E72" s="61">
        <v>71</v>
      </c>
      <c r="G72" s="78">
        <v>42154</v>
      </c>
    </row>
    <row r="73" spans="1:7">
      <c r="A73" s="61" t="s">
        <v>110</v>
      </c>
      <c r="B73" s="61">
        <v>21262</v>
      </c>
      <c r="C73" s="61" t="s">
        <v>50</v>
      </c>
      <c r="D73" s="62">
        <v>0.47013888888888888</v>
      </c>
      <c r="E73" s="61">
        <v>72</v>
      </c>
      <c r="G73" s="78">
        <v>42154</v>
      </c>
    </row>
    <row r="74" spans="1:7">
      <c r="A74" s="61" t="s">
        <v>158</v>
      </c>
      <c r="B74" s="61">
        <v>23097</v>
      </c>
      <c r="C74" s="61" t="s">
        <v>68</v>
      </c>
      <c r="D74" s="62">
        <v>0.47430555555555554</v>
      </c>
      <c r="E74" s="61">
        <v>73</v>
      </c>
      <c r="G74" s="78">
        <v>42154</v>
      </c>
    </row>
    <row r="75" spans="1:7">
      <c r="A75" s="61" t="s">
        <v>196</v>
      </c>
      <c r="B75" s="61">
        <v>10976</v>
      </c>
      <c r="C75" s="61" t="s">
        <v>73</v>
      </c>
      <c r="D75" s="62">
        <v>0.48055555555555557</v>
      </c>
      <c r="E75" s="61">
        <v>74</v>
      </c>
      <c r="G75" s="78">
        <v>42154</v>
      </c>
    </row>
    <row r="76" spans="1:7">
      <c r="A76" s="61" t="s">
        <v>178</v>
      </c>
      <c r="B76" s="61">
        <v>23189</v>
      </c>
      <c r="C76" s="61" t="s">
        <v>71</v>
      </c>
      <c r="D76" s="62">
        <v>0.48125000000000001</v>
      </c>
      <c r="E76" s="61">
        <v>75</v>
      </c>
      <c r="G76" s="78">
        <v>42154</v>
      </c>
    </row>
    <row r="77" spans="1:7">
      <c r="A77" s="61" t="s">
        <v>191</v>
      </c>
      <c r="B77" s="61">
        <v>23335</v>
      </c>
      <c r="C77" s="61" t="s">
        <v>37</v>
      </c>
      <c r="D77" s="62">
        <v>0.48125000000000001</v>
      </c>
      <c r="E77" s="61">
        <v>76</v>
      </c>
      <c r="G77" s="78">
        <v>42154</v>
      </c>
    </row>
    <row r="78" spans="1:7">
      <c r="A78" s="61" t="s">
        <v>121</v>
      </c>
      <c r="B78" s="61">
        <v>22923</v>
      </c>
      <c r="C78" s="61" t="s">
        <v>23</v>
      </c>
      <c r="D78" s="62">
        <v>0.48125000000000001</v>
      </c>
      <c r="E78" s="61">
        <v>77</v>
      </c>
      <c r="G78" s="78">
        <v>42154</v>
      </c>
    </row>
    <row r="79" spans="1:7">
      <c r="A79" s="61" t="s">
        <v>174</v>
      </c>
      <c r="B79" s="61">
        <v>23150</v>
      </c>
      <c r="C79" s="61" t="s">
        <v>35</v>
      </c>
      <c r="D79" s="62">
        <v>0.4826388888888889</v>
      </c>
      <c r="E79" s="61">
        <v>78</v>
      </c>
      <c r="G79" s="78">
        <v>42154</v>
      </c>
    </row>
    <row r="80" spans="1:7">
      <c r="A80" s="61" t="s">
        <v>210</v>
      </c>
      <c r="B80" s="61">
        <v>22926</v>
      </c>
      <c r="C80" s="61" t="s">
        <v>45</v>
      </c>
      <c r="D80" s="62">
        <v>0.48333333333333334</v>
      </c>
      <c r="E80" s="61">
        <v>79</v>
      </c>
      <c r="G80" s="78">
        <v>42154</v>
      </c>
    </row>
    <row r="81" spans="1:7">
      <c r="A81" s="61" t="s">
        <v>101</v>
      </c>
      <c r="B81" s="61">
        <v>20673</v>
      </c>
      <c r="C81" s="61" t="s">
        <v>52</v>
      </c>
      <c r="D81" s="62">
        <v>0.48333333333333334</v>
      </c>
      <c r="E81" s="61">
        <v>80</v>
      </c>
      <c r="G81" s="78">
        <v>42154</v>
      </c>
    </row>
    <row r="82" spans="1:7">
      <c r="A82" s="61" t="s">
        <v>185</v>
      </c>
      <c r="B82" s="61">
        <v>20675</v>
      </c>
      <c r="C82" s="61" t="s">
        <v>28</v>
      </c>
      <c r="D82" s="62">
        <v>0.48541666666666666</v>
      </c>
      <c r="E82" s="61">
        <v>81</v>
      </c>
      <c r="G82" s="78">
        <v>42154</v>
      </c>
    </row>
    <row r="83" spans="1:7">
      <c r="A83" s="61" t="s">
        <v>197</v>
      </c>
      <c r="B83" s="61">
        <v>22926</v>
      </c>
      <c r="C83" s="61" t="s">
        <v>45</v>
      </c>
      <c r="D83" s="62">
        <v>0.48541666666666666</v>
      </c>
      <c r="E83" s="61">
        <v>82</v>
      </c>
      <c r="G83" s="78">
        <v>42154</v>
      </c>
    </row>
    <row r="84" spans="1:7">
      <c r="A84" s="61" t="s">
        <v>256</v>
      </c>
      <c r="B84" s="61">
        <v>21575</v>
      </c>
      <c r="C84" s="61" t="s">
        <v>48</v>
      </c>
      <c r="D84" s="62">
        <v>0.48680555555555555</v>
      </c>
      <c r="E84" s="61">
        <v>83</v>
      </c>
      <c r="G84" s="78">
        <v>42154</v>
      </c>
    </row>
    <row r="85" spans="1:7">
      <c r="A85" s="61" t="s">
        <v>199</v>
      </c>
      <c r="B85" s="61">
        <v>23195</v>
      </c>
      <c r="C85" s="61" t="s">
        <v>42</v>
      </c>
      <c r="D85" s="62">
        <v>0.48888888888888887</v>
      </c>
      <c r="E85" s="61">
        <v>84</v>
      </c>
      <c r="G85" s="78">
        <v>42154</v>
      </c>
    </row>
    <row r="86" spans="1:7">
      <c r="A86" s="65" t="s">
        <v>166</v>
      </c>
      <c r="B86" s="65">
        <v>22815</v>
      </c>
      <c r="C86" s="67" t="s">
        <v>32</v>
      </c>
      <c r="D86" s="66">
        <v>0.48888888888888887</v>
      </c>
      <c r="E86" s="61">
        <v>85</v>
      </c>
      <c r="G86" s="78">
        <v>42154</v>
      </c>
    </row>
    <row r="87" spans="1:7">
      <c r="A87" s="61" t="s">
        <v>122</v>
      </c>
      <c r="B87" s="61">
        <v>23028</v>
      </c>
      <c r="C87" s="61" t="s">
        <v>13</v>
      </c>
      <c r="D87" s="62">
        <v>0.4909722222222222</v>
      </c>
      <c r="E87" s="61">
        <v>86</v>
      </c>
      <c r="G87" s="78">
        <v>42154</v>
      </c>
    </row>
    <row r="88" spans="1:7">
      <c r="A88" s="61" t="s">
        <v>123</v>
      </c>
      <c r="B88" s="61">
        <v>23028</v>
      </c>
      <c r="C88" s="61" t="s">
        <v>13</v>
      </c>
      <c r="D88" s="62">
        <v>0.4909722222222222</v>
      </c>
      <c r="E88" s="61">
        <v>87</v>
      </c>
      <c r="G88" s="78">
        <v>42154</v>
      </c>
    </row>
    <row r="89" spans="1:7">
      <c r="A89" s="61" t="s">
        <v>180</v>
      </c>
      <c r="B89" s="61">
        <v>22815</v>
      </c>
      <c r="C89" s="61" t="s">
        <v>32</v>
      </c>
      <c r="D89" s="62">
        <v>0.49652777777777773</v>
      </c>
      <c r="E89" s="61">
        <v>88</v>
      </c>
      <c r="G89" s="78">
        <v>42154</v>
      </c>
    </row>
    <row r="90" spans="1:7">
      <c r="A90" s="61" t="s">
        <v>214</v>
      </c>
      <c r="B90" s="61">
        <v>23335</v>
      </c>
      <c r="C90" s="61" t="s">
        <v>37</v>
      </c>
      <c r="D90" s="62">
        <v>0.49791666666666662</v>
      </c>
      <c r="E90" s="61">
        <v>89</v>
      </c>
      <c r="G90" s="78">
        <v>42154</v>
      </c>
    </row>
    <row r="91" spans="1:7">
      <c r="A91" s="61" t="s">
        <v>179</v>
      </c>
      <c r="B91" s="61">
        <v>23189</v>
      </c>
      <c r="C91" s="61" t="s">
        <v>71</v>
      </c>
      <c r="D91" s="62">
        <v>0.49791666666666662</v>
      </c>
      <c r="E91" s="61">
        <v>90</v>
      </c>
      <c r="G91" s="78">
        <v>42154</v>
      </c>
    </row>
    <row r="92" spans="1:7">
      <c r="A92" s="61" t="s">
        <v>241</v>
      </c>
      <c r="B92" s="61">
        <v>23032</v>
      </c>
      <c r="C92" s="61" t="s">
        <v>53</v>
      </c>
      <c r="D92" s="62">
        <v>0.50277777777777777</v>
      </c>
      <c r="E92" s="61">
        <v>91</v>
      </c>
      <c r="G92" s="78">
        <v>42154</v>
      </c>
    </row>
    <row r="93" spans="1:7">
      <c r="A93" s="61" t="s">
        <v>138</v>
      </c>
      <c r="B93" s="61">
        <v>22923</v>
      </c>
      <c r="C93" s="61" t="s">
        <v>23</v>
      </c>
      <c r="D93" s="62">
        <v>0.54305555555555551</v>
      </c>
      <c r="E93" s="61">
        <v>92</v>
      </c>
      <c r="G93" s="78">
        <v>42154</v>
      </c>
    </row>
    <row r="94" spans="1:7">
      <c r="A94" s="61" t="s">
        <v>120</v>
      </c>
      <c r="B94" s="61">
        <v>22939</v>
      </c>
      <c r="C94" s="61" t="s">
        <v>57</v>
      </c>
      <c r="D94" s="62">
        <v>0.54305555555555551</v>
      </c>
      <c r="E94" s="61">
        <v>93</v>
      </c>
      <c r="G94" s="78">
        <v>42154</v>
      </c>
    </row>
    <row r="95" spans="1:7">
      <c r="A95" s="61" t="s">
        <v>118</v>
      </c>
      <c r="B95" s="61">
        <v>23031</v>
      </c>
      <c r="C95" s="61" t="s">
        <v>15</v>
      </c>
      <c r="D95" s="62">
        <v>0.54375000000000007</v>
      </c>
      <c r="E95" s="61">
        <v>94</v>
      </c>
      <c r="G95" s="78">
        <v>42154</v>
      </c>
    </row>
    <row r="96" spans="1:7">
      <c r="A96" s="61" t="s">
        <v>244</v>
      </c>
      <c r="B96" s="61">
        <v>21262</v>
      </c>
      <c r="C96" s="61" t="s">
        <v>50</v>
      </c>
      <c r="D96" s="62">
        <v>0.54583333333333328</v>
      </c>
      <c r="E96" s="61">
        <v>95</v>
      </c>
      <c r="G96" s="78">
        <v>42154</v>
      </c>
    </row>
    <row r="97" spans="1:7">
      <c r="A97" s="61" t="s">
        <v>184</v>
      </c>
      <c r="B97" s="61">
        <v>21083</v>
      </c>
      <c r="C97" s="61" t="s">
        <v>31</v>
      </c>
      <c r="D97" s="62">
        <v>0.54722222222222217</v>
      </c>
      <c r="E97" s="61">
        <v>96</v>
      </c>
      <c r="G97" s="78">
        <v>42154</v>
      </c>
    </row>
    <row r="98" spans="1:7">
      <c r="A98" s="61" t="s">
        <v>247</v>
      </c>
      <c r="B98" s="61">
        <v>23135</v>
      </c>
      <c r="C98" s="61" t="s">
        <v>49</v>
      </c>
      <c r="D98" s="62">
        <v>0.54722222222222217</v>
      </c>
      <c r="E98" s="61">
        <v>97</v>
      </c>
      <c r="G98" s="78">
        <v>42154</v>
      </c>
    </row>
    <row r="99" spans="1:7">
      <c r="A99" s="61" t="s">
        <v>261</v>
      </c>
      <c r="B99" s="61">
        <v>23253</v>
      </c>
      <c r="C99" s="61" t="s">
        <v>51</v>
      </c>
      <c r="D99" s="62">
        <v>0.54791666666666672</v>
      </c>
      <c r="E99" s="61">
        <v>98</v>
      </c>
      <c r="G99" s="78">
        <v>42154</v>
      </c>
    </row>
    <row r="100" spans="1:7">
      <c r="A100" s="61" t="s">
        <v>193</v>
      </c>
      <c r="B100" s="61">
        <v>10976</v>
      </c>
      <c r="C100" s="61" t="s">
        <v>73</v>
      </c>
      <c r="D100" s="62">
        <v>0.55208333333333337</v>
      </c>
      <c r="E100" s="61">
        <v>99</v>
      </c>
      <c r="G100" s="78">
        <v>42154</v>
      </c>
    </row>
    <row r="101" spans="1:7">
      <c r="A101" s="61" t="s">
        <v>186</v>
      </c>
      <c r="B101" s="61">
        <v>20675</v>
      </c>
      <c r="C101" s="61" t="s">
        <v>28</v>
      </c>
      <c r="D101" s="62">
        <v>0.55347222222222225</v>
      </c>
      <c r="E101" s="61">
        <v>100</v>
      </c>
      <c r="G101" s="78">
        <v>42154</v>
      </c>
    </row>
    <row r="102" spans="1:7">
      <c r="A102" s="61" t="s">
        <v>200</v>
      </c>
      <c r="B102" s="61">
        <v>22816</v>
      </c>
      <c r="C102" s="61" t="s">
        <v>19</v>
      </c>
      <c r="D102" s="62">
        <v>0.55555555555555558</v>
      </c>
      <c r="E102" s="61">
        <v>101</v>
      </c>
      <c r="G102" s="78">
        <v>42154</v>
      </c>
    </row>
    <row r="103" spans="1:7">
      <c r="A103" s="61" t="s">
        <v>148</v>
      </c>
      <c r="B103" s="61">
        <v>23150</v>
      </c>
      <c r="C103" s="61" t="s">
        <v>35</v>
      </c>
      <c r="D103" s="62">
        <v>0.55763888888888891</v>
      </c>
      <c r="E103" s="61">
        <v>102</v>
      </c>
      <c r="G103" s="78">
        <v>42154</v>
      </c>
    </row>
    <row r="104" spans="1:7">
      <c r="A104" s="61" t="s">
        <v>173</v>
      </c>
      <c r="B104" s="61">
        <v>22815</v>
      </c>
      <c r="C104" s="61" t="s">
        <v>32</v>
      </c>
      <c r="D104" s="62">
        <v>0.5625</v>
      </c>
      <c r="E104" s="61">
        <v>103</v>
      </c>
      <c r="G104" s="78">
        <v>42154</v>
      </c>
    </row>
    <row r="105" spans="1:7">
      <c r="A105" s="61" t="s">
        <v>135</v>
      </c>
      <c r="B105" s="61">
        <v>22923</v>
      </c>
      <c r="C105" s="61" t="s">
        <v>23</v>
      </c>
      <c r="D105" s="62">
        <v>0.5625</v>
      </c>
      <c r="E105" s="61">
        <v>104</v>
      </c>
      <c r="G105" s="78">
        <v>42154</v>
      </c>
    </row>
    <row r="106" spans="1:7">
      <c r="A106" s="61" t="s">
        <v>194</v>
      </c>
      <c r="B106" s="61">
        <v>23213</v>
      </c>
      <c r="C106" s="61" t="s">
        <v>72</v>
      </c>
      <c r="D106" s="62">
        <v>0.56666666666666665</v>
      </c>
      <c r="E106" s="61">
        <v>105</v>
      </c>
      <c r="G106" s="78">
        <v>42154</v>
      </c>
    </row>
    <row r="107" spans="1:7">
      <c r="A107" s="61" t="s">
        <v>96</v>
      </c>
      <c r="B107" s="61">
        <v>23335</v>
      </c>
      <c r="C107" s="61" t="s">
        <v>37</v>
      </c>
      <c r="D107" s="62">
        <v>0.56874999999999998</v>
      </c>
      <c r="E107" s="61">
        <v>106</v>
      </c>
      <c r="G107" s="78">
        <v>42154</v>
      </c>
    </row>
    <row r="108" spans="1:7">
      <c r="A108" s="61" t="s">
        <v>132</v>
      </c>
      <c r="B108" s="61">
        <v>23028</v>
      </c>
      <c r="C108" s="61" t="s">
        <v>13</v>
      </c>
      <c r="D108" s="62">
        <v>0.57152777777777775</v>
      </c>
      <c r="E108" s="61">
        <v>107</v>
      </c>
      <c r="G108" s="78">
        <v>42154</v>
      </c>
    </row>
    <row r="109" spans="1:7">
      <c r="A109" s="61" t="s">
        <v>192</v>
      </c>
      <c r="B109" s="61">
        <v>22926</v>
      </c>
      <c r="C109" s="61" t="s">
        <v>45</v>
      </c>
      <c r="D109" s="62">
        <v>0.57291666666666663</v>
      </c>
      <c r="E109" s="61">
        <v>108</v>
      </c>
      <c r="G109" s="78">
        <v>42154</v>
      </c>
    </row>
    <row r="110" spans="1:7">
      <c r="A110" s="61" t="s">
        <v>133</v>
      </c>
      <c r="B110" s="61">
        <v>20673</v>
      </c>
      <c r="C110" s="61" t="s">
        <v>52</v>
      </c>
      <c r="D110" s="62">
        <v>0.57500000000000007</v>
      </c>
      <c r="E110" s="61">
        <v>109</v>
      </c>
      <c r="G110" s="78">
        <v>42154</v>
      </c>
    </row>
    <row r="111" spans="1:7">
      <c r="A111" s="61" t="s">
        <v>140</v>
      </c>
      <c r="B111" s="61">
        <v>22635</v>
      </c>
      <c r="C111" s="61" t="s">
        <v>33</v>
      </c>
      <c r="D111" s="62">
        <v>0.57708333333333328</v>
      </c>
      <c r="E111" s="61">
        <v>110</v>
      </c>
      <c r="G111" s="78">
        <v>42154</v>
      </c>
    </row>
    <row r="112" spans="1:7">
      <c r="A112" s="61" t="s">
        <v>243</v>
      </c>
      <c r="B112" s="61">
        <v>21262</v>
      </c>
      <c r="C112" s="61" t="s">
        <v>50</v>
      </c>
      <c r="D112" s="62">
        <v>0.57847222222222217</v>
      </c>
      <c r="E112" s="61">
        <v>111</v>
      </c>
      <c r="G112" s="78">
        <v>42154</v>
      </c>
    </row>
    <row r="113" spans="1:7">
      <c r="A113" s="61" t="s">
        <v>155</v>
      </c>
      <c r="B113" s="61">
        <v>23189</v>
      </c>
      <c r="C113" s="61" t="s">
        <v>71</v>
      </c>
      <c r="D113" s="62">
        <v>0.57847222222222217</v>
      </c>
      <c r="E113" s="61">
        <v>112</v>
      </c>
      <c r="G113" s="78">
        <v>42154</v>
      </c>
    </row>
    <row r="114" spans="1:7">
      <c r="A114" s="61" t="s">
        <v>240</v>
      </c>
      <c r="B114" s="61">
        <v>23376</v>
      </c>
      <c r="C114" s="61" t="s">
        <v>54</v>
      </c>
      <c r="D114" s="62">
        <v>0.57986111111111105</v>
      </c>
      <c r="E114" s="61">
        <v>113</v>
      </c>
      <c r="G114" s="78">
        <v>42154</v>
      </c>
    </row>
    <row r="115" spans="1:7">
      <c r="A115" s="61" t="s">
        <v>149</v>
      </c>
      <c r="B115" s="61">
        <v>20675</v>
      </c>
      <c r="C115" s="61" t="s">
        <v>28</v>
      </c>
      <c r="D115" s="62">
        <v>0.58611111111111114</v>
      </c>
      <c r="E115" s="61">
        <v>114</v>
      </c>
      <c r="G115" s="78">
        <v>42154</v>
      </c>
    </row>
    <row r="116" spans="1:7">
      <c r="A116" s="61" t="s">
        <v>251</v>
      </c>
      <c r="B116" s="61">
        <v>23032</v>
      </c>
      <c r="C116" s="61" t="s">
        <v>53</v>
      </c>
      <c r="D116" s="62">
        <v>0.58680555555555558</v>
      </c>
      <c r="E116" s="61">
        <v>115</v>
      </c>
      <c r="G116" s="78">
        <v>42154</v>
      </c>
    </row>
    <row r="117" spans="1:7">
      <c r="A117" s="61" t="s">
        <v>150</v>
      </c>
      <c r="B117" s="61">
        <v>23150</v>
      </c>
      <c r="C117" s="61" t="s">
        <v>35</v>
      </c>
      <c r="D117" s="62">
        <v>0.58680555555555558</v>
      </c>
      <c r="E117" s="61">
        <v>116</v>
      </c>
      <c r="G117" s="78">
        <v>42154</v>
      </c>
    </row>
    <row r="118" spans="1:7">
      <c r="A118" s="61" t="s">
        <v>145</v>
      </c>
      <c r="B118" s="61">
        <v>23028</v>
      </c>
      <c r="C118" s="61" t="s">
        <v>13</v>
      </c>
      <c r="D118" s="62">
        <v>0.58750000000000002</v>
      </c>
      <c r="E118" s="61">
        <v>117</v>
      </c>
      <c r="G118" s="78">
        <v>42154</v>
      </c>
    </row>
    <row r="119" spans="1:7">
      <c r="A119" s="61" t="s">
        <v>183</v>
      </c>
      <c r="B119" s="61">
        <v>21083</v>
      </c>
      <c r="C119" s="61" t="s">
        <v>31</v>
      </c>
      <c r="D119" s="62">
        <v>0.59027777777777779</v>
      </c>
      <c r="E119" s="61">
        <v>118</v>
      </c>
      <c r="G119" s="78">
        <v>42154</v>
      </c>
    </row>
    <row r="120" spans="1:7">
      <c r="A120" s="61" t="s">
        <v>126</v>
      </c>
      <c r="B120" s="61">
        <v>20673</v>
      </c>
      <c r="C120" s="61" t="s">
        <v>52</v>
      </c>
      <c r="D120" s="62">
        <v>0.59166666666666667</v>
      </c>
      <c r="E120" s="61">
        <v>119</v>
      </c>
      <c r="G120" s="78">
        <v>42154</v>
      </c>
    </row>
    <row r="121" spans="1:7">
      <c r="A121" s="61" t="s">
        <v>238</v>
      </c>
      <c r="B121" s="61">
        <v>23135</v>
      </c>
      <c r="C121" s="61" t="s">
        <v>49</v>
      </c>
      <c r="D121" s="62">
        <v>0.59236111111111112</v>
      </c>
      <c r="E121" s="61">
        <v>120</v>
      </c>
      <c r="G121" s="78">
        <v>42154</v>
      </c>
    </row>
    <row r="122" spans="1:7">
      <c r="A122" s="61" t="s">
        <v>153</v>
      </c>
      <c r="B122" s="61">
        <v>23189</v>
      </c>
      <c r="C122" s="61" t="s">
        <v>71</v>
      </c>
      <c r="D122" s="62">
        <v>0.59513888888888888</v>
      </c>
      <c r="E122" s="61">
        <v>121</v>
      </c>
      <c r="G122" s="78">
        <v>42154</v>
      </c>
    </row>
    <row r="123" spans="1:7">
      <c r="A123" s="61" t="s">
        <v>203</v>
      </c>
      <c r="B123" s="61">
        <v>23025</v>
      </c>
      <c r="C123" s="61" t="s">
        <v>43</v>
      </c>
      <c r="D123" s="62">
        <v>0.59513888888888888</v>
      </c>
      <c r="E123" s="61">
        <v>122</v>
      </c>
      <c r="G123" s="78">
        <v>42154</v>
      </c>
    </row>
    <row r="124" spans="1:7">
      <c r="A124" s="61" t="s">
        <v>128</v>
      </c>
      <c r="B124" s="61">
        <v>22939</v>
      </c>
      <c r="C124" s="61" t="s">
        <v>57</v>
      </c>
      <c r="D124" s="62">
        <v>0.59861111111111109</v>
      </c>
      <c r="E124" s="61">
        <v>123</v>
      </c>
      <c r="G124" s="78">
        <v>42154</v>
      </c>
    </row>
    <row r="125" spans="1:7">
      <c r="A125" s="61" t="s">
        <v>170</v>
      </c>
      <c r="B125" s="61">
        <v>22815</v>
      </c>
      <c r="C125" s="61" t="s">
        <v>32</v>
      </c>
      <c r="D125" s="62">
        <v>0.59930555555555554</v>
      </c>
      <c r="E125" s="61">
        <v>124</v>
      </c>
      <c r="G125" s="78">
        <v>42154</v>
      </c>
    </row>
    <row r="126" spans="1:7">
      <c r="A126" s="61" t="s">
        <v>257</v>
      </c>
      <c r="B126" s="61">
        <v>21575</v>
      </c>
      <c r="C126" s="61" t="s">
        <v>48</v>
      </c>
      <c r="D126" s="62">
        <v>0.6</v>
      </c>
      <c r="E126" s="61">
        <v>125</v>
      </c>
      <c r="G126" s="78">
        <v>42154</v>
      </c>
    </row>
    <row r="127" spans="1:7">
      <c r="A127" s="61" t="s">
        <v>119</v>
      </c>
      <c r="B127" s="61">
        <v>23031</v>
      </c>
      <c r="C127" s="61" t="s">
        <v>15</v>
      </c>
      <c r="D127" s="62">
        <v>0.60277777777777775</v>
      </c>
      <c r="E127" s="61">
        <v>126</v>
      </c>
      <c r="G127" s="78">
        <v>42154</v>
      </c>
    </row>
    <row r="128" spans="1:7">
      <c r="A128" s="61" t="s">
        <v>125</v>
      </c>
      <c r="B128" s="61">
        <v>23031</v>
      </c>
      <c r="C128" s="61" t="s">
        <v>15</v>
      </c>
      <c r="D128" s="62">
        <v>0.60277777777777775</v>
      </c>
      <c r="E128" s="61">
        <v>127</v>
      </c>
      <c r="G128" s="78">
        <v>42154</v>
      </c>
    </row>
    <row r="129" spans="1:7">
      <c r="A129" s="61" t="s">
        <v>239</v>
      </c>
      <c r="B129" s="61">
        <v>23007</v>
      </c>
      <c r="C129" s="61" t="s">
        <v>75</v>
      </c>
      <c r="D129" s="62">
        <v>0.60277777777777775</v>
      </c>
      <c r="E129" s="61">
        <v>128</v>
      </c>
      <c r="G129" s="78">
        <v>42154</v>
      </c>
    </row>
    <row r="130" spans="1:7">
      <c r="A130" s="61" t="s">
        <v>95</v>
      </c>
      <c r="B130" s="61">
        <v>23213</v>
      </c>
      <c r="C130" s="61" t="s">
        <v>72</v>
      </c>
      <c r="D130" s="62">
        <v>0.60347222222222219</v>
      </c>
      <c r="E130" s="61">
        <v>129</v>
      </c>
      <c r="G130" s="78">
        <v>42154</v>
      </c>
    </row>
    <row r="131" spans="1:7">
      <c r="A131" s="61" t="s">
        <v>129</v>
      </c>
      <c r="B131" s="61">
        <v>22923</v>
      </c>
      <c r="C131" s="61" t="s">
        <v>23</v>
      </c>
      <c r="D131" s="62">
        <v>0.60833333333333328</v>
      </c>
      <c r="E131" s="61">
        <v>130</v>
      </c>
      <c r="G131" s="78">
        <v>42154</v>
      </c>
    </row>
    <row r="132" spans="1:7">
      <c r="A132" s="61" t="s">
        <v>134</v>
      </c>
      <c r="B132" s="61">
        <v>23028</v>
      </c>
      <c r="C132" s="61" t="s">
        <v>13</v>
      </c>
      <c r="D132" s="62">
        <v>0.60972222222222217</v>
      </c>
      <c r="E132" s="61">
        <v>131</v>
      </c>
      <c r="G132" s="78">
        <v>42154</v>
      </c>
    </row>
    <row r="133" spans="1:7">
      <c r="A133" s="65" t="s">
        <v>127</v>
      </c>
      <c r="B133" s="65">
        <v>20673</v>
      </c>
      <c r="C133" s="65" t="s">
        <v>52</v>
      </c>
      <c r="D133" s="66">
        <v>0.61458333333333337</v>
      </c>
      <c r="E133" s="61">
        <v>132</v>
      </c>
      <c r="G133" s="78">
        <v>42154</v>
      </c>
    </row>
    <row r="134" spans="1:7">
      <c r="A134" s="65" t="s">
        <v>157</v>
      </c>
      <c r="B134" s="65">
        <v>23189</v>
      </c>
      <c r="C134" s="65" t="s">
        <v>71</v>
      </c>
      <c r="D134" s="66">
        <v>0.61458333333333337</v>
      </c>
      <c r="E134" s="61">
        <v>133</v>
      </c>
      <c r="G134" s="78">
        <v>42154</v>
      </c>
    </row>
    <row r="135" spans="1:7">
      <c r="A135" s="65" t="s">
        <v>213</v>
      </c>
      <c r="B135" s="65">
        <v>10976</v>
      </c>
      <c r="C135" s="65" t="s">
        <v>73</v>
      </c>
      <c r="D135" s="66">
        <v>0.62013888888888891</v>
      </c>
      <c r="E135" s="61">
        <v>134</v>
      </c>
      <c r="G135" s="78">
        <v>42154</v>
      </c>
    </row>
    <row r="136" spans="1:7">
      <c r="A136" s="65" t="s">
        <v>264</v>
      </c>
      <c r="B136" s="65">
        <v>21262</v>
      </c>
      <c r="C136" s="65" t="s">
        <v>50</v>
      </c>
      <c r="D136" s="66">
        <v>0.62291666666666667</v>
      </c>
      <c r="E136" s="61">
        <v>135</v>
      </c>
      <c r="G136" s="78">
        <v>42154</v>
      </c>
    </row>
    <row r="137" spans="1:7">
      <c r="A137" s="61" t="s">
        <v>249</v>
      </c>
      <c r="B137" s="61">
        <v>21262</v>
      </c>
      <c r="C137" s="61" t="s">
        <v>50</v>
      </c>
      <c r="D137" s="62">
        <v>0.62291666666666667</v>
      </c>
      <c r="E137" s="61">
        <v>136</v>
      </c>
      <c r="G137" s="78">
        <v>42154</v>
      </c>
    </row>
    <row r="138" spans="1:7">
      <c r="A138" s="61" t="s">
        <v>248</v>
      </c>
      <c r="B138" s="61">
        <v>21262</v>
      </c>
      <c r="C138" s="61" t="s">
        <v>50</v>
      </c>
      <c r="D138" s="62">
        <v>0.62291666666666667</v>
      </c>
      <c r="E138" s="61">
        <v>137</v>
      </c>
      <c r="G138" s="78">
        <v>42154</v>
      </c>
    </row>
    <row r="139" spans="1:7">
      <c r="A139" s="61" t="s">
        <v>253</v>
      </c>
      <c r="B139" s="61">
        <v>21262</v>
      </c>
      <c r="C139" s="61" t="s">
        <v>50</v>
      </c>
      <c r="D139" s="62">
        <v>0.62291666666666667</v>
      </c>
      <c r="E139" s="61">
        <v>138</v>
      </c>
      <c r="G139" s="78">
        <v>42154</v>
      </c>
    </row>
    <row r="140" spans="1:7">
      <c r="A140" s="61" t="s">
        <v>254</v>
      </c>
      <c r="B140" s="61">
        <v>21262</v>
      </c>
      <c r="C140" s="61" t="s">
        <v>50</v>
      </c>
      <c r="D140" s="62">
        <v>0.62291666666666667</v>
      </c>
      <c r="E140" s="61">
        <v>139</v>
      </c>
      <c r="G140" s="78">
        <v>42154</v>
      </c>
    </row>
    <row r="141" spans="1:7">
      <c r="A141" s="61" t="s">
        <v>154</v>
      </c>
      <c r="B141" s="61">
        <v>23150</v>
      </c>
      <c r="C141" s="61" t="s">
        <v>35</v>
      </c>
      <c r="D141" s="62">
        <v>0.63958333333333328</v>
      </c>
      <c r="E141" s="61">
        <v>140</v>
      </c>
      <c r="G141" s="78">
        <v>42154</v>
      </c>
    </row>
    <row r="142" spans="1:7">
      <c r="A142" s="61" t="s">
        <v>242</v>
      </c>
      <c r="B142" s="61">
        <v>23032</v>
      </c>
      <c r="C142" s="61" t="s">
        <v>53</v>
      </c>
      <c r="D142" s="62">
        <v>0.64652777777777781</v>
      </c>
      <c r="E142" s="61">
        <v>141</v>
      </c>
      <c r="G142" s="78">
        <v>42154</v>
      </c>
    </row>
    <row r="143" spans="1:7">
      <c r="A143" s="61" t="s">
        <v>258</v>
      </c>
      <c r="B143" s="61">
        <v>23253</v>
      </c>
      <c r="C143" s="61" t="s">
        <v>51</v>
      </c>
      <c r="D143" s="62">
        <v>0.64930555555555558</v>
      </c>
      <c r="E143" s="61">
        <v>142</v>
      </c>
      <c r="G143" s="78">
        <v>42154</v>
      </c>
    </row>
    <row r="144" spans="1:7">
      <c r="A144" s="61" t="s">
        <v>146</v>
      </c>
      <c r="B144" s="61">
        <v>23028</v>
      </c>
      <c r="C144" s="61" t="s">
        <v>13</v>
      </c>
      <c r="D144" s="62">
        <v>0.64930555555555558</v>
      </c>
      <c r="E144" s="61">
        <v>143</v>
      </c>
      <c r="G144" s="78">
        <v>42154</v>
      </c>
    </row>
    <row r="145" spans="1:7">
      <c r="A145" s="61" t="s">
        <v>262</v>
      </c>
      <c r="B145" s="61">
        <v>23376</v>
      </c>
      <c r="C145" s="61" t="s">
        <v>54</v>
      </c>
      <c r="D145" s="62">
        <v>0.64930555555555558</v>
      </c>
      <c r="E145" s="61">
        <v>144</v>
      </c>
      <c r="G145" s="78">
        <v>42154</v>
      </c>
    </row>
    <row r="146" spans="1:7">
      <c r="A146" s="61" t="s">
        <v>201</v>
      </c>
      <c r="B146" s="61">
        <v>22926</v>
      </c>
      <c r="C146" s="61" t="s">
        <v>45</v>
      </c>
      <c r="D146" s="62">
        <v>0.65208333333333335</v>
      </c>
      <c r="E146" s="61">
        <v>145</v>
      </c>
      <c r="G146" s="78">
        <v>42154</v>
      </c>
    </row>
    <row r="147" spans="1:7">
      <c r="A147" s="61" t="s">
        <v>131</v>
      </c>
      <c r="B147" s="61">
        <v>20673</v>
      </c>
      <c r="C147" s="61" t="s">
        <v>52</v>
      </c>
      <c r="D147" s="62">
        <v>0.65208333333333335</v>
      </c>
      <c r="E147" s="61">
        <v>146</v>
      </c>
      <c r="G147" s="78">
        <v>42154</v>
      </c>
    </row>
    <row r="148" spans="1:7">
      <c r="A148" s="61" t="s">
        <v>237</v>
      </c>
      <c r="B148" s="61">
        <v>23009</v>
      </c>
      <c r="C148" s="61" t="s">
        <v>74</v>
      </c>
      <c r="D148" s="62">
        <v>0.65277777777777779</v>
      </c>
      <c r="E148" s="61">
        <v>147</v>
      </c>
      <c r="G148" s="78">
        <v>42154</v>
      </c>
    </row>
    <row r="149" spans="1:7">
      <c r="A149" s="61" t="s">
        <v>177</v>
      </c>
      <c r="B149" s="61">
        <v>22815</v>
      </c>
      <c r="C149" s="61" t="s">
        <v>32</v>
      </c>
      <c r="D149" s="62">
        <v>0.65833333333333333</v>
      </c>
      <c r="E149" s="61">
        <v>148</v>
      </c>
      <c r="G149" s="78">
        <v>42154</v>
      </c>
    </row>
    <row r="150" spans="1:7">
      <c r="A150" s="61" t="s">
        <v>99</v>
      </c>
      <c r="B150" s="61">
        <v>23031</v>
      </c>
      <c r="C150" s="61" t="s">
        <v>15</v>
      </c>
      <c r="D150" s="62">
        <v>0.65833333333333333</v>
      </c>
      <c r="E150" s="61">
        <v>149</v>
      </c>
      <c r="G150" s="78">
        <v>42154</v>
      </c>
    </row>
    <row r="151" spans="1:7">
      <c r="A151" s="61" t="s">
        <v>217</v>
      </c>
      <c r="B151" s="61">
        <v>22926</v>
      </c>
      <c r="C151" s="61" t="s">
        <v>45</v>
      </c>
      <c r="D151" s="62">
        <v>0.6694444444444444</v>
      </c>
      <c r="E151" s="61">
        <v>150</v>
      </c>
      <c r="G151" s="78">
        <v>42154</v>
      </c>
    </row>
    <row r="152" spans="1:7">
      <c r="A152" s="61" t="s">
        <v>141</v>
      </c>
      <c r="B152" s="61">
        <v>22635</v>
      </c>
      <c r="C152" s="61" t="s">
        <v>33</v>
      </c>
      <c r="D152" s="62">
        <v>0.67083333333333339</v>
      </c>
      <c r="E152" s="61">
        <v>151</v>
      </c>
      <c r="G152" s="78">
        <v>42154</v>
      </c>
    </row>
    <row r="153" spans="1:7">
      <c r="A153" s="61" t="s">
        <v>147</v>
      </c>
      <c r="B153" s="61">
        <v>22923</v>
      </c>
      <c r="C153" s="61" t="s">
        <v>23</v>
      </c>
      <c r="D153" s="62">
        <v>0.67083333333333339</v>
      </c>
      <c r="E153" s="61">
        <v>152</v>
      </c>
      <c r="G153" s="78">
        <v>42154</v>
      </c>
    </row>
    <row r="154" spans="1:7">
      <c r="A154" s="61" t="s">
        <v>233</v>
      </c>
      <c r="B154" s="61">
        <v>22939</v>
      </c>
      <c r="C154" s="61" t="s">
        <v>57</v>
      </c>
      <c r="D154" s="62">
        <v>0.68263888888888891</v>
      </c>
      <c r="E154" s="61">
        <v>153</v>
      </c>
      <c r="G154" s="78">
        <v>42154</v>
      </c>
    </row>
    <row r="155" spans="1:7">
      <c r="A155" s="61" t="s">
        <v>263</v>
      </c>
      <c r="B155" s="61">
        <v>21575</v>
      </c>
      <c r="C155" s="61" t="s">
        <v>48</v>
      </c>
      <c r="D155" s="62">
        <v>0.68541666666666667</v>
      </c>
      <c r="E155" s="61">
        <v>154</v>
      </c>
      <c r="G155" s="78">
        <v>42154</v>
      </c>
    </row>
    <row r="156" spans="1:7">
      <c r="A156" s="61" t="s">
        <v>215</v>
      </c>
      <c r="B156" s="61">
        <v>22926</v>
      </c>
      <c r="C156" s="61" t="s">
        <v>45</v>
      </c>
      <c r="D156" s="62">
        <v>0.68680555555555556</v>
      </c>
      <c r="E156" s="61">
        <v>155</v>
      </c>
      <c r="G156" s="78">
        <v>42154</v>
      </c>
    </row>
    <row r="157" spans="1:7">
      <c r="A157" s="61" t="s">
        <v>252</v>
      </c>
      <c r="B157" s="61">
        <v>21262</v>
      </c>
      <c r="C157" s="61" t="s">
        <v>50</v>
      </c>
      <c r="D157" s="62">
        <v>0.68958333333333333</v>
      </c>
      <c r="E157" s="61">
        <v>156</v>
      </c>
      <c r="G157" s="78">
        <v>42154</v>
      </c>
    </row>
    <row r="158" spans="1:7">
      <c r="A158" s="61" t="s">
        <v>204</v>
      </c>
      <c r="B158" s="61">
        <v>22816</v>
      </c>
      <c r="C158" s="61" t="s">
        <v>19</v>
      </c>
      <c r="D158" s="62">
        <v>0.69027777777777777</v>
      </c>
      <c r="E158" s="61">
        <v>157</v>
      </c>
      <c r="G158" s="78">
        <v>42154</v>
      </c>
    </row>
    <row r="159" spans="1:7">
      <c r="A159" s="61" t="s">
        <v>259</v>
      </c>
      <c r="B159" s="61">
        <v>23032</v>
      </c>
      <c r="C159" s="61" t="s">
        <v>53</v>
      </c>
      <c r="D159" s="62">
        <v>0.6958333333333333</v>
      </c>
      <c r="E159" s="61">
        <v>158</v>
      </c>
      <c r="G159" s="78">
        <v>42154</v>
      </c>
    </row>
    <row r="160" spans="1:7">
      <c r="A160" s="61" t="s">
        <v>245</v>
      </c>
      <c r="B160" s="61">
        <v>23032</v>
      </c>
      <c r="C160" s="61" t="s">
        <v>53</v>
      </c>
      <c r="D160" s="62">
        <v>0.6958333333333333</v>
      </c>
      <c r="E160" s="61">
        <v>159</v>
      </c>
      <c r="G160" s="78">
        <v>42154</v>
      </c>
    </row>
    <row r="161" spans="1:7">
      <c r="A161" s="61" t="s">
        <v>152</v>
      </c>
      <c r="B161" s="61">
        <v>23150</v>
      </c>
      <c r="C161" s="61" t="s">
        <v>35</v>
      </c>
      <c r="D161" s="62">
        <v>0.69930555555555562</v>
      </c>
      <c r="E161" s="61">
        <v>160</v>
      </c>
      <c r="G161" s="78">
        <v>42154</v>
      </c>
    </row>
    <row r="162" spans="1:7">
      <c r="A162" s="61" t="s">
        <v>219</v>
      </c>
      <c r="B162" s="61">
        <v>23025</v>
      </c>
      <c r="C162" s="61" t="s">
        <v>43</v>
      </c>
      <c r="D162" s="62">
        <v>0.70486111111111116</v>
      </c>
      <c r="E162" s="61">
        <v>161</v>
      </c>
      <c r="G162" s="78">
        <v>42154</v>
      </c>
    </row>
    <row r="163" spans="1:7">
      <c r="A163" s="61" t="s">
        <v>164</v>
      </c>
      <c r="B163" s="61">
        <v>23150</v>
      </c>
      <c r="C163" s="61" t="s">
        <v>35</v>
      </c>
      <c r="D163" s="62">
        <v>0.72291666666666676</v>
      </c>
      <c r="E163" s="61">
        <v>162</v>
      </c>
      <c r="G163" s="78">
        <v>42154</v>
      </c>
    </row>
    <row r="164" spans="1:7">
      <c r="A164" s="61" t="s">
        <v>220</v>
      </c>
      <c r="B164" s="61">
        <v>23335</v>
      </c>
      <c r="C164" s="61" t="s">
        <v>37</v>
      </c>
      <c r="D164" s="62">
        <v>0.72361111111111109</v>
      </c>
      <c r="E164" s="61">
        <v>163</v>
      </c>
      <c r="G164" s="78">
        <v>42154</v>
      </c>
    </row>
    <row r="165" spans="1:7">
      <c r="A165" s="61" t="s">
        <v>235</v>
      </c>
      <c r="B165" s="61">
        <v>21262</v>
      </c>
      <c r="C165" s="61" t="s">
        <v>50</v>
      </c>
      <c r="D165" s="62">
        <v>0.72569444444444453</v>
      </c>
      <c r="E165" s="61">
        <v>164</v>
      </c>
      <c r="G165" s="78">
        <v>42154</v>
      </c>
    </row>
    <row r="166" spans="1:7">
      <c r="A166" s="61" t="s">
        <v>167</v>
      </c>
      <c r="B166" s="61">
        <v>23076</v>
      </c>
      <c r="C166" s="61" t="s">
        <v>29</v>
      </c>
      <c r="D166" s="62">
        <v>0.6645833333333333</v>
      </c>
      <c r="E166" s="61">
        <v>165</v>
      </c>
      <c r="G166" s="78">
        <v>42154</v>
      </c>
    </row>
    <row r="167" spans="1:7">
      <c r="A167" s="61" t="s">
        <v>142</v>
      </c>
      <c r="B167" s="61">
        <v>23031</v>
      </c>
      <c r="C167" s="61" t="s">
        <v>15</v>
      </c>
      <c r="D167" s="62">
        <v>0.78680555555555554</v>
      </c>
      <c r="E167" s="61">
        <v>166</v>
      </c>
      <c r="G167" s="78">
        <v>42154</v>
      </c>
    </row>
    <row r="168" spans="1:7">
      <c r="A168" s="61" t="s">
        <v>206</v>
      </c>
      <c r="B168" s="61">
        <v>23025</v>
      </c>
      <c r="C168" s="61" t="s">
        <v>43</v>
      </c>
      <c r="D168" s="62">
        <v>0.79027777777777775</v>
      </c>
      <c r="E168" s="61">
        <v>167</v>
      </c>
      <c r="G168" s="78">
        <v>42154</v>
      </c>
    </row>
    <row r="169" spans="1:7">
      <c r="A169" s="61" t="s">
        <v>151</v>
      </c>
      <c r="B169" s="61">
        <v>23150</v>
      </c>
      <c r="C169" s="61" t="s">
        <v>35</v>
      </c>
      <c r="D169" s="62">
        <v>0.79236111111111107</v>
      </c>
      <c r="E169" s="61">
        <v>168</v>
      </c>
      <c r="G169" s="78">
        <v>42154</v>
      </c>
    </row>
    <row r="170" spans="1:7">
      <c r="A170" s="61" t="s">
        <v>156</v>
      </c>
      <c r="B170" s="61">
        <v>20675</v>
      </c>
      <c r="C170" s="61" t="s">
        <v>28</v>
      </c>
      <c r="D170" s="62">
        <v>0.79236111111111107</v>
      </c>
      <c r="E170" s="61">
        <v>169</v>
      </c>
      <c r="G170" s="78">
        <v>42154</v>
      </c>
    </row>
    <row r="171" spans="1:7">
      <c r="A171" s="61" t="s">
        <v>175</v>
      </c>
      <c r="B171" s="61">
        <v>22636</v>
      </c>
      <c r="C171" s="61" t="s">
        <v>21</v>
      </c>
      <c r="D171" s="62">
        <v>0.79513888888888884</v>
      </c>
      <c r="E171" s="61">
        <v>170</v>
      </c>
      <c r="G171" s="78">
        <v>42154</v>
      </c>
    </row>
    <row r="172" spans="1:7">
      <c r="A172" s="61" t="s">
        <v>176</v>
      </c>
      <c r="B172" s="61">
        <v>23097</v>
      </c>
      <c r="C172" s="61" t="s">
        <v>68</v>
      </c>
      <c r="D172" s="62">
        <v>0.7993055555555556</v>
      </c>
      <c r="E172" s="61">
        <v>171</v>
      </c>
      <c r="G172" s="78">
        <v>42154</v>
      </c>
    </row>
    <row r="173" spans="1:7">
      <c r="A173" s="61" t="s">
        <v>207</v>
      </c>
      <c r="B173" s="61">
        <v>22949</v>
      </c>
      <c r="C173" s="61" t="s">
        <v>55</v>
      </c>
      <c r="D173" s="62">
        <v>0.80347222222222225</v>
      </c>
      <c r="E173" s="61">
        <v>172</v>
      </c>
      <c r="G173" s="78">
        <v>42154</v>
      </c>
    </row>
    <row r="174" spans="1:7">
      <c r="A174" s="61" t="s">
        <v>143</v>
      </c>
      <c r="B174" s="61">
        <v>22635</v>
      </c>
      <c r="C174" s="61" t="s">
        <v>33</v>
      </c>
      <c r="D174" s="62">
        <v>0.81111111111111101</v>
      </c>
      <c r="E174" s="61">
        <v>173</v>
      </c>
      <c r="G174" s="78">
        <v>42154</v>
      </c>
    </row>
    <row r="175" spans="1:7">
      <c r="A175" s="61" t="s">
        <v>169</v>
      </c>
      <c r="B175" s="61">
        <v>21083</v>
      </c>
      <c r="C175" s="61" t="s">
        <v>31</v>
      </c>
      <c r="D175" s="62">
        <v>0.81805555555555554</v>
      </c>
      <c r="E175" s="61">
        <v>174</v>
      </c>
      <c r="G175" s="78">
        <v>42154</v>
      </c>
    </row>
    <row r="176" spans="1:7">
      <c r="A176" s="61" t="s">
        <v>208</v>
      </c>
      <c r="B176" s="61">
        <v>23025</v>
      </c>
      <c r="C176" s="61" t="s">
        <v>43</v>
      </c>
      <c r="D176" s="62">
        <v>0.8222222222222223</v>
      </c>
      <c r="E176" s="61">
        <v>175</v>
      </c>
      <c r="G176" s="78">
        <v>42154</v>
      </c>
    </row>
    <row r="177" spans="1:7">
      <c r="A177" s="61" t="s">
        <v>212</v>
      </c>
      <c r="B177" s="61">
        <v>21444</v>
      </c>
      <c r="C177" s="61" t="s">
        <v>40</v>
      </c>
      <c r="D177" s="62">
        <v>0.82777777777777783</v>
      </c>
      <c r="E177" s="61">
        <v>176</v>
      </c>
      <c r="G177" s="78">
        <v>42154</v>
      </c>
    </row>
    <row r="178" spans="1:7">
      <c r="A178" s="61" t="s">
        <v>171</v>
      </c>
      <c r="B178" s="61">
        <v>23150</v>
      </c>
      <c r="C178" s="61" t="s">
        <v>35</v>
      </c>
      <c r="D178" s="62">
        <v>0.35069444444444442</v>
      </c>
      <c r="E178" s="61">
        <v>177</v>
      </c>
      <c r="G178" s="78">
        <v>42155</v>
      </c>
    </row>
    <row r="179" spans="1:7">
      <c r="A179" s="61" t="s">
        <v>168</v>
      </c>
      <c r="B179" s="61">
        <v>21083</v>
      </c>
      <c r="C179" s="61" t="s">
        <v>31</v>
      </c>
      <c r="D179" s="62">
        <v>0.35833333333333334</v>
      </c>
      <c r="E179" s="61">
        <v>178</v>
      </c>
      <c r="G179" s="78">
        <v>42155</v>
      </c>
    </row>
    <row r="180" spans="1:7">
      <c r="A180" s="61" t="s">
        <v>163</v>
      </c>
      <c r="B180" s="61">
        <v>22815</v>
      </c>
      <c r="C180" s="61" t="s">
        <v>32</v>
      </c>
      <c r="D180" s="62">
        <v>0.36805555555555558</v>
      </c>
      <c r="E180" s="61">
        <v>179</v>
      </c>
      <c r="G180" s="78">
        <v>42155</v>
      </c>
    </row>
    <row r="181" spans="1:7">
      <c r="A181" s="61" t="s">
        <v>172</v>
      </c>
      <c r="B181" s="61">
        <v>23007</v>
      </c>
      <c r="C181" s="61" t="s">
        <v>75</v>
      </c>
      <c r="D181" s="62">
        <v>0.37986111111111115</v>
      </c>
      <c r="E181" s="61">
        <v>180</v>
      </c>
      <c r="G181" s="78">
        <v>42155</v>
      </c>
    </row>
    <row r="182" spans="1:7">
      <c r="A182" s="61" t="s">
        <v>162</v>
      </c>
      <c r="B182" s="61">
        <v>23011</v>
      </c>
      <c r="C182" s="61" t="s">
        <v>27</v>
      </c>
      <c r="D182" s="62">
        <v>0.38055555555555554</v>
      </c>
      <c r="E182" s="61">
        <v>181</v>
      </c>
      <c r="G182" s="78">
        <v>42155</v>
      </c>
    </row>
    <row r="183" spans="1:7">
      <c r="A183" s="61" t="s">
        <v>188</v>
      </c>
      <c r="B183" s="61">
        <v>20675</v>
      </c>
      <c r="C183" s="61" t="s">
        <v>28</v>
      </c>
      <c r="D183" s="62">
        <v>0.38472222222222219</v>
      </c>
      <c r="E183" s="61">
        <v>182</v>
      </c>
      <c r="G183" s="78">
        <v>42155</v>
      </c>
    </row>
    <row r="184" spans="1:7">
      <c r="A184" s="61" t="s">
        <v>221</v>
      </c>
      <c r="B184" s="61">
        <v>23025</v>
      </c>
      <c r="C184" s="61" t="s">
        <v>43</v>
      </c>
      <c r="D184" s="62">
        <v>0.39861111111111108</v>
      </c>
      <c r="E184" s="61">
        <v>183</v>
      </c>
      <c r="G184" s="78">
        <v>42155</v>
      </c>
    </row>
    <row r="185" spans="1:7">
      <c r="A185" s="61" t="s">
        <v>182</v>
      </c>
      <c r="B185" s="61">
        <v>21083</v>
      </c>
      <c r="C185" s="61" t="s">
        <v>31</v>
      </c>
      <c r="D185" s="62">
        <v>0.41180555555555554</v>
      </c>
      <c r="E185" s="61">
        <v>184</v>
      </c>
      <c r="G185" s="78">
        <v>42155</v>
      </c>
    </row>
    <row r="186" spans="1:7">
      <c r="A186" s="61" t="s">
        <v>187</v>
      </c>
      <c r="B186" s="61">
        <v>23150</v>
      </c>
      <c r="C186" s="61" t="s">
        <v>35</v>
      </c>
      <c r="D186" s="62">
        <v>0.42777777777777781</v>
      </c>
      <c r="E186" s="61">
        <v>185</v>
      </c>
      <c r="G186" s="78">
        <v>42155</v>
      </c>
    </row>
    <row r="187" spans="1:7">
      <c r="A187" s="61" t="s">
        <v>181</v>
      </c>
      <c r="B187" s="61">
        <v>23153</v>
      </c>
      <c r="C187" s="61" t="s">
        <v>17</v>
      </c>
      <c r="D187" s="62">
        <v>0.44027777777777777</v>
      </c>
      <c r="E187" s="61">
        <v>186</v>
      </c>
      <c r="G187" s="78">
        <v>42155</v>
      </c>
    </row>
    <row r="188" spans="1:7">
      <c r="A188" s="99" t="s">
        <v>189</v>
      </c>
      <c r="B188" s="61">
        <v>23007</v>
      </c>
      <c r="C188" t="s">
        <v>75</v>
      </c>
      <c r="D188" s="62">
        <v>0.44027777777777777</v>
      </c>
      <c r="E188" s="61">
        <v>187</v>
      </c>
      <c r="G188" s="78">
        <v>42154</v>
      </c>
    </row>
    <row r="189" spans="1:7">
      <c r="A189" s="61" t="s">
        <v>211</v>
      </c>
      <c r="B189" s="61">
        <v>23007</v>
      </c>
      <c r="C189" t="s">
        <v>75</v>
      </c>
      <c r="D189" s="62">
        <v>0.44027777777777777</v>
      </c>
      <c r="E189" s="61">
        <v>188</v>
      </c>
      <c r="G189" s="78">
        <v>42154</v>
      </c>
    </row>
    <row r="190" spans="1:7">
      <c r="A190" s="99" t="s">
        <v>265</v>
      </c>
      <c r="C190" s="61" t="s">
        <v>290</v>
      </c>
      <c r="D190" s="62">
        <v>0.41944444444444445</v>
      </c>
      <c r="E190" s="61">
        <v>189</v>
      </c>
      <c r="G190" s="78">
        <v>42154</v>
      </c>
    </row>
  </sheetData>
  <autoFilter ref="A1:E91">
    <sortState ref="A2:E166">
      <sortCondition ref="E1:E91"/>
    </sortState>
  </autoFilter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C73"/>
  <sheetViews>
    <sheetView topLeftCell="A63" workbookViewId="0">
      <selection activeCell="B73" sqref="B73"/>
    </sheetView>
  </sheetViews>
  <sheetFormatPr defaultColWidth="11" defaultRowHeight="15.75"/>
  <cols>
    <col min="2" max="2" width="19.125" customWidth="1"/>
    <col min="3" max="3" width="21.5" bestFit="1" customWidth="1"/>
  </cols>
  <sheetData>
    <row r="2" spans="2:3">
      <c r="B2" s="4" t="s">
        <v>0</v>
      </c>
      <c r="C2" s="4" t="s">
        <v>1</v>
      </c>
    </row>
    <row r="3" spans="2:3">
      <c r="B3" s="5">
        <v>23450</v>
      </c>
      <c r="C3" s="6" t="s">
        <v>5</v>
      </c>
    </row>
    <row r="4" spans="2:3">
      <c r="B4" s="7">
        <v>21840</v>
      </c>
      <c r="C4" s="8" t="s">
        <v>6</v>
      </c>
    </row>
    <row r="5" spans="2:3">
      <c r="B5" s="7">
        <v>10030</v>
      </c>
      <c r="C5" s="8" t="s">
        <v>7</v>
      </c>
    </row>
    <row r="6" spans="2:3">
      <c r="B6" s="9">
        <v>20702</v>
      </c>
      <c r="C6" s="10" t="s">
        <v>8</v>
      </c>
    </row>
    <row r="7" spans="2:3">
      <c r="B7" s="11">
        <v>22680</v>
      </c>
      <c r="C7" s="12" t="s">
        <v>9</v>
      </c>
    </row>
    <row r="8" spans="2:3">
      <c r="B8" s="11">
        <v>23155</v>
      </c>
      <c r="C8" s="12" t="s">
        <v>10</v>
      </c>
    </row>
    <row r="9" spans="2:3">
      <c r="B9" s="11">
        <v>22906</v>
      </c>
      <c r="C9" s="12" t="s">
        <v>11</v>
      </c>
    </row>
    <row r="10" spans="2:3">
      <c r="B10" s="11">
        <v>22965</v>
      </c>
      <c r="C10" s="12" t="s">
        <v>12</v>
      </c>
    </row>
    <row r="11" spans="2:3">
      <c r="B11" s="13">
        <v>23028</v>
      </c>
      <c r="C11" s="14" t="s">
        <v>13</v>
      </c>
    </row>
    <row r="12" spans="2:3">
      <c r="B12" s="15">
        <v>22904</v>
      </c>
      <c r="C12" s="16" t="s">
        <v>14</v>
      </c>
    </row>
    <row r="13" spans="2:3">
      <c r="B13" s="13">
        <v>23031</v>
      </c>
      <c r="C13" s="17" t="s">
        <v>15</v>
      </c>
    </row>
    <row r="14" spans="2:3">
      <c r="B14" s="18">
        <v>23068</v>
      </c>
      <c r="C14" s="19" t="s">
        <v>16</v>
      </c>
    </row>
    <row r="15" spans="2:3">
      <c r="B15" s="13">
        <v>23153</v>
      </c>
      <c r="C15" s="17" t="s">
        <v>17</v>
      </c>
    </row>
    <row r="16" spans="2:3">
      <c r="B16" s="18">
        <v>23188</v>
      </c>
      <c r="C16" s="20" t="s">
        <v>18</v>
      </c>
    </row>
    <row r="17" spans="2:3">
      <c r="B17" s="13">
        <v>22816</v>
      </c>
      <c r="C17" s="17" t="s">
        <v>19</v>
      </c>
    </row>
    <row r="18" spans="2:3">
      <c r="B18" s="21">
        <v>23380</v>
      </c>
      <c r="C18" s="22" t="s">
        <v>20</v>
      </c>
    </row>
    <row r="19" spans="2:3">
      <c r="B19" s="13">
        <v>22636</v>
      </c>
      <c r="C19" s="17" t="s">
        <v>21</v>
      </c>
    </row>
    <row r="20" spans="2:3">
      <c r="B20" s="23">
        <v>23010</v>
      </c>
      <c r="C20" s="24" t="s">
        <v>22</v>
      </c>
    </row>
    <row r="21" spans="2:3">
      <c r="B21" s="13">
        <v>22923</v>
      </c>
      <c r="C21" s="17" t="s">
        <v>23</v>
      </c>
    </row>
    <row r="22" spans="2:3">
      <c r="B22" s="21">
        <v>21775</v>
      </c>
      <c r="C22" s="22" t="s">
        <v>24</v>
      </c>
    </row>
    <row r="23" spans="2:3">
      <c r="B23" s="13">
        <v>23361</v>
      </c>
      <c r="C23" s="17" t="s">
        <v>25</v>
      </c>
    </row>
    <row r="24" spans="2:3">
      <c r="B24" s="21">
        <v>20676</v>
      </c>
      <c r="C24" s="22" t="s">
        <v>26</v>
      </c>
    </row>
    <row r="25" spans="2:3">
      <c r="B25" s="13">
        <v>23011</v>
      </c>
      <c r="C25" s="17" t="s">
        <v>27</v>
      </c>
    </row>
    <row r="26" spans="2:3">
      <c r="B26" s="25">
        <v>20675</v>
      </c>
      <c r="C26" s="26" t="s">
        <v>28</v>
      </c>
    </row>
    <row r="27" spans="2:3">
      <c r="B27" s="13">
        <v>23076</v>
      </c>
      <c r="C27" s="17" t="s">
        <v>29</v>
      </c>
    </row>
    <row r="28" spans="2:3">
      <c r="B28" s="27">
        <v>23071</v>
      </c>
      <c r="C28" s="28" t="s">
        <v>30</v>
      </c>
    </row>
    <row r="29" spans="2:3">
      <c r="B29" s="13">
        <v>21083</v>
      </c>
      <c r="C29" s="29" t="s">
        <v>31</v>
      </c>
    </row>
    <row r="30" spans="2:3">
      <c r="B30" s="30">
        <v>22815</v>
      </c>
      <c r="C30" s="31" t="s">
        <v>32</v>
      </c>
    </row>
    <row r="31" spans="2:3">
      <c r="B31" s="13">
        <v>22635</v>
      </c>
      <c r="C31" s="14" t="s">
        <v>33</v>
      </c>
    </row>
    <row r="32" spans="2:3">
      <c r="B32" s="21">
        <v>23008</v>
      </c>
      <c r="C32" s="22" t="s">
        <v>34</v>
      </c>
    </row>
    <row r="33" spans="2:3">
      <c r="B33" s="13">
        <v>23150</v>
      </c>
      <c r="C33" s="17" t="s">
        <v>35</v>
      </c>
    </row>
    <row r="34" spans="2:3">
      <c r="B34" s="30">
        <v>23207</v>
      </c>
      <c r="C34" s="19" t="s">
        <v>36</v>
      </c>
    </row>
    <row r="35" spans="2:3">
      <c r="B35" s="13">
        <v>23335</v>
      </c>
      <c r="C35" s="17" t="s">
        <v>37</v>
      </c>
    </row>
    <row r="36" spans="2:3">
      <c r="B36" s="21">
        <v>21732</v>
      </c>
      <c r="C36" s="22" t="s">
        <v>38</v>
      </c>
    </row>
    <row r="37" spans="2:3">
      <c r="B37" s="13">
        <v>22847</v>
      </c>
      <c r="C37" s="17" t="s">
        <v>39</v>
      </c>
    </row>
    <row r="38" spans="2:3">
      <c r="B38" s="21">
        <v>21444</v>
      </c>
      <c r="C38" s="22" t="s">
        <v>40</v>
      </c>
    </row>
    <row r="39" spans="2:3">
      <c r="B39" s="13">
        <v>22848</v>
      </c>
      <c r="C39" s="17" t="s">
        <v>41</v>
      </c>
    </row>
    <row r="40" spans="2:3">
      <c r="B40" s="15">
        <v>23195</v>
      </c>
      <c r="C40" s="16" t="s">
        <v>42</v>
      </c>
    </row>
    <row r="41" spans="2:3">
      <c r="B41" s="34">
        <v>23025</v>
      </c>
      <c r="C41" s="14" t="s">
        <v>43</v>
      </c>
    </row>
    <row r="42" spans="2:3">
      <c r="B42" s="18"/>
      <c r="C42" s="35" t="s">
        <v>44</v>
      </c>
    </row>
    <row r="43" spans="2:3">
      <c r="B43" s="32">
        <v>22926</v>
      </c>
      <c r="C43" s="33" t="s">
        <v>45</v>
      </c>
    </row>
    <row r="44" spans="2:3">
      <c r="B44" s="15"/>
      <c r="C44" s="36" t="s">
        <v>46</v>
      </c>
    </row>
    <row r="45" spans="2:3">
      <c r="B45" s="37">
        <v>23092</v>
      </c>
      <c r="C45" s="38" t="s">
        <v>47</v>
      </c>
    </row>
    <row r="46" spans="2:3">
      <c r="B46" s="39">
        <v>21575</v>
      </c>
      <c r="C46" s="40" t="s">
        <v>48</v>
      </c>
    </row>
    <row r="47" spans="2:3">
      <c r="B47" s="37">
        <v>23135</v>
      </c>
      <c r="C47" s="38" t="s">
        <v>49</v>
      </c>
    </row>
    <row r="48" spans="2:3">
      <c r="B48" s="23">
        <v>21262</v>
      </c>
      <c r="C48" s="24" t="s">
        <v>50</v>
      </c>
    </row>
    <row r="49" spans="2:3">
      <c r="B49" s="37">
        <v>23253</v>
      </c>
      <c r="C49" s="38" t="s">
        <v>51</v>
      </c>
    </row>
    <row r="50" spans="2:3">
      <c r="B50" s="41">
        <v>20673</v>
      </c>
      <c r="C50" s="40" t="s">
        <v>52</v>
      </c>
    </row>
    <row r="51" spans="2:3">
      <c r="B51" s="37">
        <v>23032</v>
      </c>
      <c r="C51" s="38" t="s">
        <v>53</v>
      </c>
    </row>
    <row r="52" spans="2:3">
      <c r="B52" s="42">
        <v>23376</v>
      </c>
      <c r="C52" s="43" t="s">
        <v>54</v>
      </c>
    </row>
    <row r="53" spans="2:3">
      <c r="B53" s="37">
        <v>22949</v>
      </c>
      <c r="C53" s="38" t="s">
        <v>55</v>
      </c>
    </row>
    <row r="54" spans="2:3">
      <c r="B54" s="23">
        <v>21360</v>
      </c>
      <c r="C54" s="24" t="s">
        <v>56</v>
      </c>
    </row>
    <row r="55" spans="2:3">
      <c r="B55" s="37">
        <v>22939</v>
      </c>
      <c r="C55" s="38" t="s">
        <v>57</v>
      </c>
    </row>
    <row r="56" spans="2:3">
      <c r="B56" s="23">
        <v>22430</v>
      </c>
      <c r="C56" s="43" t="s">
        <v>58</v>
      </c>
    </row>
    <row r="57" spans="2:3">
      <c r="B57" s="37">
        <v>22997</v>
      </c>
      <c r="C57" s="38" t="s">
        <v>59</v>
      </c>
    </row>
    <row r="58" spans="2:3">
      <c r="B58" s="23">
        <v>11552</v>
      </c>
      <c r="C58" s="24" t="s">
        <v>60</v>
      </c>
    </row>
    <row r="59" spans="2:3">
      <c r="B59" s="44">
        <v>15009</v>
      </c>
      <c r="C59" s="45" t="s">
        <v>61</v>
      </c>
    </row>
    <row r="60" spans="2:3">
      <c r="B60" s="44">
        <v>21569</v>
      </c>
      <c r="C60" s="45" t="s">
        <v>62</v>
      </c>
    </row>
    <row r="61" spans="2:3">
      <c r="B61" s="44">
        <v>20876</v>
      </c>
      <c r="C61" s="45" t="s">
        <v>63</v>
      </c>
    </row>
    <row r="62" spans="2:3">
      <c r="B62" s="44">
        <v>23352</v>
      </c>
      <c r="C62" s="45" t="s">
        <v>64</v>
      </c>
    </row>
    <row r="63" spans="2:3">
      <c r="B63" s="46">
        <v>22998</v>
      </c>
      <c r="C63" s="47" t="s">
        <v>65</v>
      </c>
    </row>
    <row r="64" spans="2:3">
      <c r="B64" s="46">
        <v>22996</v>
      </c>
      <c r="C64" s="47" t="s">
        <v>66</v>
      </c>
    </row>
    <row r="65" spans="2:3">
      <c r="B65" s="48">
        <v>11407</v>
      </c>
      <c r="C65" s="49" t="s">
        <v>67</v>
      </c>
    </row>
    <row r="66" spans="2:3">
      <c r="B66" s="50">
        <v>23097</v>
      </c>
      <c r="C66" s="51" t="s">
        <v>68</v>
      </c>
    </row>
    <row r="67" spans="2:3">
      <c r="B67" s="52">
        <v>22422</v>
      </c>
      <c r="C67" s="51" t="s">
        <v>69</v>
      </c>
    </row>
    <row r="68" spans="2:3">
      <c r="B68" s="50">
        <v>23097</v>
      </c>
      <c r="C68" s="51" t="s">
        <v>70</v>
      </c>
    </row>
    <row r="69" spans="2:3">
      <c r="B69" s="53">
        <v>23189</v>
      </c>
      <c r="C69" s="54" t="s">
        <v>71</v>
      </c>
    </row>
    <row r="70" spans="2:3">
      <c r="B70" s="53">
        <v>23213</v>
      </c>
      <c r="C70" s="54" t="s">
        <v>72</v>
      </c>
    </row>
    <row r="71" spans="2:3">
      <c r="B71" s="55">
        <v>10976</v>
      </c>
      <c r="C71" s="56" t="s">
        <v>73</v>
      </c>
    </row>
    <row r="72" spans="2:3">
      <c r="B72" s="55">
        <v>23009</v>
      </c>
      <c r="C72" s="56" t="s">
        <v>74</v>
      </c>
    </row>
    <row r="73" spans="2:3">
      <c r="B73" s="50">
        <v>23007</v>
      </c>
      <c r="C73" s="54" t="s">
        <v>75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4" tint="0.79998168889431442"/>
  </sheetPr>
  <dimension ref="A1:E189"/>
  <sheetViews>
    <sheetView topLeftCell="A182" workbookViewId="0">
      <selection activeCell="A203" sqref="A203"/>
    </sheetView>
  </sheetViews>
  <sheetFormatPr defaultColWidth="11" defaultRowHeight="15.75"/>
  <cols>
    <col min="1" max="1" width="13.625" style="61" customWidth="1"/>
    <col min="2" max="2" width="14.125" customWidth="1"/>
    <col min="3" max="3" width="23.875" customWidth="1"/>
    <col min="4" max="4" width="11.125" style="61" bestFit="1" customWidth="1"/>
    <col min="5" max="5" width="7.75" style="61" bestFit="1" customWidth="1"/>
  </cols>
  <sheetData>
    <row r="1" spans="1:5">
      <c r="A1" s="2" t="s">
        <v>4</v>
      </c>
      <c r="B1" s="2" t="s">
        <v>0</v>
      </c>
      <c r="C1" s="2" t="s">
        <v>1</v>
      </c>
      <c r="D1" s="2" t="s">
        <v>3</v>
      </c>
      <c r="E1" s="100" t="s">
        <v>267</v>
      </c>
    </row>
    <row r="2" spans="1:5">
      <c r="A2" s="63" t="s">
        <v>112</v>
      </c>
      <c r="B2" s="58">
        <v>23028</v>
      </c>
      <c r="C2" s="58" t="s">
        <v>13</v>
      </c>
      <c r="D2" s="64">
        <v>0.3666666666666667</v>
      </c>
      <c r="E2" s="61">
        <v>1</v>
      </c>
    </row>
    <row r="3" spans="1:5">
      <c r="A3" s="63" t="s">
        <v>113</v>
      </c>
      <c r="B3" s="58">
        <v>23028</v>
      </c>
      <c r="C3" s="58" t="s">
        <v>13</v>
      </c>
      <c r="D3" s="64">
        <v>0.36736111111111108</v>
      </c>
      <c r="E3" s="61">
        <v>2</v>
      </c>
    </row>
    <row r="4" spans="1:5">
      <c r="A4" s="63" t="s">
        <v>114</v>
      </c>
      <c r="B4" s="58">
        <v>23028</v>
      </c>
      <c r="C4" s="58" t="s">
        <v>13</v>
      </c>
      <c r="D4" s="64">
        <v>0.3666666666666667</v>
      </c>
      <c r="E4" s="61">
        <v>3</v>
      </c>
    </row>
    <row r="5" spans="1:5">
      <c r="A5" s="63" t="s">
        <v>115</v>
      </c>
      <c r="B5" s="58">
        <v>23028</v>
      </c>
      <c r="C5" s="58" t="s">
        <v>13</v>
      </c>
      <c r="D5" s="64">
        <v>0.3666666666666667</v>
      </c>
      <c r="E5" s="61">
        <v>4</v>
      </c>
    </row>
    <row r="6" spans="1:5">
      <c r="A6" s="63" t="s">
        <v>116</v>
      </c>
      <c r="B6" s="58">
        <v>23028</v>
      </c>
      <c r="C6" s="58" t="s">
        <v>13</v>
      </c>
      <c r="D6" s="64">
        <v>0.3666666666666667</v>
      </c>
      <c r="E6" s="61">
        <v>5</v>
      </c>
    </row>
    <row r="7" spans="1:5">
      <c r="A7" s="63" t="s">
        <v>80</v>
      </c>
      <c r="B7" s="58">
        <v>23028</v>
      </c>
      <c r="C7" s="58" t="s">
        <v>13</v>
      </c>
      <c r="D7" s="64">
        <v>0.4145833333333333</v>
      </c>
      <c r="E7" s="61">
        <v>6</v>
      </c>
    </row>
    <row r="8" spans="1:5">
      <c r="A8" s="63" t="s">
        <v>117</v>
      </c>
      <c r="B8" s="58">
        <v>23028</v>
      </c>
      <c r="C8" s="58" t="s">
        <v>13</v>
      </c>
      <c r="D8" s="64">
        <v>0.39652777777777781</v>
      </c>
      <c r="E8" s="61">
        <v>7</v>
      </c>
    </row>
    <row r="9" spans="1:5">
      <c r="A9" s="61" t="s">
        <v>118</v>
      </c>
      <c r="B9">
        <v>23031</v>
      </c>
      <c r="C9" t="s">
        <v>15</v>
      </c>
      <c r="D9" s="62">
        <v>0.56874999999999998</v>
      </c>
      <c r="E9" s="61">
        <v>8</v>
      </c>
    </row>
    <row r="10" spans="1:5">
      <c r="A10" s="61" t="s">
        <v>119</v>
      </c>
      <c r="B10">
        <v>23031</v>
      </c>
      <c r="C10" t="s">
        <v>15</v>
      </c>
      <c r="D10" s="62">
        <v>0.65555555555555556</v>
      </c>
      <c r="E10" s="61">
        <v>9</v>
      </c>
    </row>
    <row r="11" spans="1:5">
      <c r="A11" s="61" t="s">
        <v>120</v>
      </c>
      <c r="B11">
        <v>22939</v>
      </c>
      <c r="C11" t="s">
        <v>57</v>
      </c>
      <c r="D11" s="62">
        <v>0.54513888888888895</v>
      </c>
      <c r="E11" s="61">
        <v>10</v>
      </c>
    </row>
    <row r="12" spans="1:5">
      <c r="A12" s="61" t="s">
        <v>109</v>
      </c>
      <c r="B12">
        <v>23031</v>
      </c>
      <c r="C12" t="s">
        <v>15</v>
      </c>
      <c r="D12" s="62">
        <v>0.49722222222222223</v>
      </c>
      <c r="E12" s="61">
        <v>11</v>
      </c>
    </row>
    <row r="13" spans="1:5">
      <c r="A13" s="61" t="s">
        <v>121</v>
      </c>
      <c r="B13">
        <v>22923</v>
      </c>
      <c r="C13" t="s">
        <v>23</v>
      </c>
      <c r="D13" s="62">
        <v>0.50277777777777777</v>
      </c>
      <c r="E13" s="61">
        <v>12</v>
      </c>
    </row>
    <row r="14" spans="1:5">
      <c r="A14" s="61" t="s">
        <v>122</v>
      </c>
      <c r="B14">
        <v>23028</v>
      </c>
      <c r="C14" t="s">
        <v>13</v>
      </c>
      <c r="D14" s="62">
        <v>0.56874999999999998</v>
      </c>
      <c r="E14" s="61">
        <v>13</v>
      </c>
    </row>
    <row r="15" spans="1:5">
      <c r="A15" s="61" t="s">
        <v>123</v>
      </c>
      <c r="B15">
        <v>23028</v>
      </c>
      <c r="C15" t="s">
        <v>13</v>
      </c>
      <c r="D15" s="62">
        <v>0.56874999999999998</v>
      </c>
      <c r="E15" s="61">
        <v>14</v>
      </c>
    </row>
    <row r="16" spans="1:5">
      <c r="A16" s="63" t="s">
        <v>108</v>
      </c>
      <c r="B16" s="58">
        <v>23028</v>
      </c>
      <c r="C16" s="58" t="s">
        <v>13</v>
      </c>
      <c r="D16" s="64">
        <v>0.48819444444444443</v>
      </c>
      <c r="E16" s="61">
        <v>15</v>
      </c>
    </row>
    <row r="17" spans="1:5">
      <c r="A17" s="63" t="s">
        <v>124</v>
      </c>
      <c r="B17" s="58">
        <v>23031</v>
      </c>
      <c r="C17" s="58" t="s">
        <v>15</v>
      </c>
      <c r="D17" s="64">
        <v>0.39513888888888887</v>
      </c>
      <c r="E17" s="61">
        <v>16</v>
      </c>
    </row>
    <row r="18" spans="1:5">
      <c r="A18" s="63" t="s">
        <v>79</v>
      </c>
      <c r="B18" s="58">
        <v>23031</v>
      </c>
      <c r="C18" s="58" t="s">
        <v>15</v>
      </c>
      <c r="D18" s="64">
        <v>0.45416666666666666</v>
      </c>
      <c r="E18" s="61">
        <v>17</v>
      </c>
    </row>
    <row r="19" spans="1:5">
      <c r="A19" s="61" t="s">
        <v>125</v>
      </c>
      <c r="B19">
        <v>23031</v>
      </c>
      <c r="C19" t="s">
        <v>15</v>
      </c>
      <c r="D19" s="62">
        <v>0.65555555555555556</v>
      </c>
      <c r="E19" s="61">
        <v>18</v>
      </c>
    </row>
    <row r="20" spans="1:5">
      <c r="A20" s="61" t="s">
        <v>126</v>
      </c>
      <c r="B20">
        <v>20673</v>
      </c>
      <c r="C20" t="s">
        <v>52</v>
      </c>
      <c r="D20" s="62">
        <v>0.6118055555555556</v>
      </c>
      <c r="E20" s="61">
        <v>19</v>
      </c>
    </row>
    <row r="21" spans="1:5">
      <c r="A21" s="61" t="s">
        <v>127</v>
      </c>
      <c r="B21">
        <v>20673</v>
      </c>
      <c r="C21" t="s">
        <v>52</v>
      </c>
      <c r="D21" s="62">
        <v>0.65</v>
      </c>
      <c r="E21" s="61">
        <v>20</v>
      </c>
    </row>
    <row r="22" spans="1:5">
      <c r="A22" s="61" t="s">
        <v>99</v>
      </c>
      <c r="B22">
        <v>23031</v>
      </c>
      <c r="C22" t="s">
        <v>15</v>
      </c>
      <c r="D22" s="62">
        <v>0.69027777777777777</v>
      </c>
      <c r="E22" s="61">
        <v>21</v>
      </c>
    </row>
    <row r="23" spans="1:5">
      <c r="A23" s="61" t="s">
        <v>128</v>
      </c>
      <c r="B23">
        <v>22939</v>
      </c>
      <c r="C23" t="s">
        <v>57</v>
      </c>
      <c r="D23" s="62">
        <v>0.65486111111111112</v>
      </c>
      <c r="E23" s="61">
        <v>22</v>
      </c>
    </row>
    <row r="24" spans="1:5">
      <c r="A24" s="61" t="s">
        <v>129</v>
      </c>
      <c r="B24">
        <v>22923</v>
      </c>
      <c r="C24" t="s">
        <v>23</v>
      </c>
      <c r="D24" s="62">
        <v>0.66805555555555562</v>
      </c>
      <c r="E24" s="61">
        <v>23</v>
      </c>
    </row>
    <row r="25" spans="1:5">
      <c r="A25" s="63" t="s">
        <v>130</v>
      </c>
      <c r="B25" s="58">
        <v>22939</v>
      </c>
      <c r="C25" s="58" t="s">
        <v>57</v>
      </c>
      <c r="D25" s="64">
        <v>0.3972222222222222</v>
      </c>
      <c r="E25" s="61">
        <v>24</v>
      </c>
    </row>
    <row r="26" spans="1:5">
      <c r="A26" s="61" t="s">
        <v>131</v>
      </c>
      <c r="B26">
        <v>20673</v>
      </c>
      <c r="C26" t="s">
        <v>52</v>
      </c>
      <c r="D26" s="62">
        <v>0.68194444444444446</v>
      </c>
      <c r="E26" s="61">
        <v>25</v>
      </c>
    </row>
    <row r="27" spans="1:5">
      <c r="A27" s="63" t="s">
        <v>81</v>
      </c>
      <c r="B27" s="58">
        <v>22939</v>
      </c>
      <c r="C27" s="58" t="s">
        <v>57</v>
      </c>
      <c r="D27" s="64">
        <v>0.45763888888888887</v>
      </c>
      <c r="E27" s="61">
        <v>26</v>
      </c>
    </row>
    <row r="28" spans="1:5">
      <c r="A28" s="61" t="s">
        <v>132</v>
      </c>
      <c r="B28">
        <v>23028</v>
      </c>
      <c r="C28" t="s">
        <v>13</v>
      </c>
      <c r="D28" s="62">
        <v>0.5854166666666667</v>
      </c>
      <c r="E28" s="61">
        <v>27</v>
      </c>
    </row>
    <row r="29" spans="1:5">
      <c r="A29" s="61" t="s">
        <v>133</v>
      </c>
      <c r="B29">
        <v>20673</v>
      </c>
      <c r="C29" t="s">
        <v>52</v>
      </c>
      <c r="D29" s="62">
        <v>0.58888888888888891</v>
      </c>
      <c r="E29" s="61">
        <v>28</v>
      </c>
    </row>
    <row r="30" spans="1:5">
      <c r="A30" s="61" t="s">
        <v>134</v>
      </c>
      <c r="B30">
        <v>23028</v>
      </c>
      <c r="C30" t="s">
        <v>13</v>
      </c>
      <c r="D30" s="62">
        <v>0.64652777777777781</v>
      </c>
      <c r="E30" s="61">
        <v>29</v>
      </c>
    </row>
    <row r="31" spans="1:5">
      <c r="A31" s="61" t="s">
        <v>101</v>
      </c>
      <c r="B31">
        <v>20673</v>
      </c>
      <c r="C31" t="s">
        <v>52</v>
      </c>
      <c r="D31" s="62">
        <v>0.55763888888888891</v>
      </c>
      <c r="E31" s="61">
        <v>30</v>
      </c>
    </row>
    <row r="32" spans="1:5">
      <c r="A32" s="61" t="s">
        <v>135</v>
      </c>
      <c r="B32">
        <v>22923</v>
      </c>
      <c r="C32" t="s">
        <v>23</v>
      </c>
      <c r="D32" s="62">
        <v>0.60625000000000007</v>
      </c>
      <c r="E32" s="61">
        <v>31</v>
      </c>
    </row>
    <row r="33" spans="1:5">
      <c r="A33" s="63" t="s">
        <v>136</v>
      </c>
      <c r="B33" s="58">
        <v>20673</v>
      </c>
      <c r="C33" s="58" t="s">
        <v>52</v>
      </c>
      <c r="D33" s="64">
        <v>0.41111111111111115</v>
      </c>
      <c r="E33" s="61">
        <v>32</v>
      </c>
    </row>
    <row r="34" spans="1:5">
      <c r="A34" s="63" t="s">
        <v>137</v>
      </c>
      <c r="B34" s="58">
        <v>20673</v>
      </c>
      <c r="C34" s="58" t="s">
        <v>52</v>
      </c>
      <c r="D34" s="64">
        <v>0.37638888888888888</v>
      </c>
      <c r="E34" s="61">
        <v>33</v>
      </c>
    </row>
    <row r="35" spans="1:5">
      <c r="A35" s="61" t="s">
        <v>138</v>
      </c>
      <c r="B35">
        <v>22923</v>
      </c>
      <c r="C35" t="s">
        <v>23</v>
      </c>
      <c r="D35" s="62">
        <v>0.56041666666666667</v>
      </c>
      <c r="E35" s="61">
        <v>34</v>
      </c>
    </row>
    <row r="36" spans="1:5">
      <c r="A36" s="63" t="s">
        <v>139</v>
      </c>
      <c r="B36" s="58">
        <v>22635</v>
      </c>
      <c r="C36" s="58" t="s">
        <v>33</v>
      </c>
      <c r="D36" s="64">
        <v>0.41597222222222219</v>
      </c>
      <c r="E36" s="61">
        <v>35</v>
      </c>
    </row>
    <row r="37" spans="1:5">
      <c r="A37" s="61" t="s">
        <v>92</v>
      </c>
      <c r="B37">
        <v>22635</v>
      </c>
      <c r="C37" t="s">
        <v>33</v>
      </c>
      <c r="D37" s="62">
        <v>0.57500000000000007</v>
      </c>
      <c r="E37" s="61">
        <v>36</v>
      </c>
    </row>
    <row r="38" spans="1:5">
      <c r="A38" s="61" t="s">
        <v>140</v>
      </c>
      <c r="B38">
        <v>22635</v>
      </c>
      <c r="C38" t="s">
        <v>33</v>
      </c>
      <c r="D38" s="62">
        <v>0.66736111111111107</v>
      </c>
      <c r="E38" s="61">
        <v>37</v>
      </c>
    </row>
    <row r="39" spans="1:5">
      <c r="A39" s="61" t="s">
        <v>141</v>
      </c>
      <c r="B39">
        <v>22635</v>
      </c>
      <c r="C39" t="s">
        <v>33</v>
      </c>
      <c r="D39" s="62">
        <v>0.71666666666666667</v>
      </c>
      <c r="E39" s="61">
        <v>38</v>
      </c>
    </row>
    <row r="40" spans="1:5">
      <c r="A40" s="61" t="s">
        <v>142</v>
      </c>
      <c r="B40">
        <v>23031</v>
      </c>
      <c r="C40" t="s">
        <v>15</v>
      </c>
      <c r="D40" s="62">
        <v>0.8354166666666667</v>
      </c>
      <c r="E40" s="61">
        <v>39</v>
      </c>
    </row>
    <row r="41" spans="1:5">
      <c r="A41" s="61" t="s">
        <v>143</v>
      </c>
      <c r="B41">
        <v>22635</v>
      </c>
      <c r="C41" t="s">
        <v>33</v>
      </c>
      <c r="D41" s="62">
        <v>0.35694444444444445</v>
      </c>
      <c r="E41" s="61">
        <v>40</v>
      </c>
    </row>
    <row r="42" spans="1:5">
      <c r="A42" s="63" t="s">
        <v>144</v>
      </c>
      <c r="B42" s="58">
        <v>22923</v>
      </c>
      <c r="C42" s="58" t="s">
        <v>23</v>
      </c>
      <c r="D42" s="64">
        <v>0.39166666666666666</v>
      </c>
      <c r="E42" s="61">
        <v>41</v>
      </c>
    </row>
    <row r="43" spans="1:5">
      <c r="A43" s="63" t="s">
        <v>76</v>
      </c>
      <c r="B43" s="58">
        <v>22923</v>
      </c>
      <c r="C43" s="58" t="s">
        <v>23</v>
      </c>
      <c r="D43" s="64">
        <v>0.44375000000000003</v>
      </c>
      <c r="E43" s="61">
        <v>42</v>
      </c>
    </row>
    <row r="44" spans="1:5">
      <c r="A44" s="63" t="s">
        <v>94</v>
      </c>
      <c r="B44" s="58">
        <v>22923</v>
      </c>
      <c r="C44" s="58" t="s">
        <v>23</v>
      </c>
      <c r="D44" s="64">
        <v>0.47847222222222219</v>
      </c>
      <c r="E44" s="61">
        <v>43</v>
      </c>
    </row>
    <row r="45" spans="1:5">
      <c r="A45" s="61" t="s">
        <v>145</v>
      </c>
      <c r="B45">
        <v>23028</v>
      </c>
      <c r="C45" t="s">
        <v>13</v>
      </c>
      <c r="D45" s="62">
        <v>0.60763888888888895</v>
      </c>
      <c r="E45" s="61">
        <v>44</v>
      </c>
    </row>
    <row r="46" spans="1:5">
      <c r="A46" s="61" t="s">
        <v>146</v>
      </c>
      <c r="B46">
        <v>23028</v>
      </c>
      <c r="C46" t="s">
        <v>13</v>
      </c>
      <c r="D46" s="62">
        <v>0.67847222222222225</v>
      </c>
      <c r="E46" s="61">
        <v>45</v>
      </c>
    </row>
    <row r="47" spans="1:5">
      <c r="A47" s="61" t="s">
        <v>147</v>
      </c>
      <c r="B47">
        <v>22923</v>
      </c>
      <c r="C47" t="s">
        <v>23</v>
      </c>
      <c r="D47" s="62">
        <v>0.70138888888888884</v>
      </c>
      <c r="E47" s="61">
        <v>46</v>
      </c>
    </row>
    <row r="48" spans="1:5">
      <c r="A48" s="61" t="s">
        <v>148</v>
      </c>
      <c r="B48">
        <v>23150</v>
      </c>
      <c r="C48" t="s">
        <v>35</v>
      </c>
      <c r="D48" s="62">
        <v>0.58611111111111114</v>
      </c>
      <c r="E48" s="61">
        <v>47</v>
      </c>
    </row>
    <row r="49" spans="1:5">
      <c r="A49" s="61" t="s">
        <v>149</v>
      </c>
      <c r="B49">
        <v>20675</v>
      </c>
      <c r="C49" t="s">
        <v>28</v>
      </c>
      <c r="D49" s="62">
        <v>0.66527777777777775</v>
      </c>
      <c r="E49" s="61">
        <v>48</v>
      </c>
    </row>
    <row r="50" spans="1:5">
      <c r="A50" s="79" t="s">
        <v>150</v>
      </c>
      <c r="B50" s="57">
        <v>23150</v>
      </c>
      <c r="C50" s="57" t="s">
        <v>35</v>
      </c>
      <c r="D50" s="81">
        <v>0.62708333333333333</v>
      </c>
      <c r="E50" s="61">
        <v>49</v>
      </c>
    </row>
    <row r="51" spans="1:5">
      <c r="A51" s="61" t="s">
        <v>151</v>
      </c>
      <c r="B51">
        <v>23150</v>
      </c>
      <c r="C51" t="s">
        <v>35</v>
      </c>
      <c r="D51" s="62">
        <v>0.83194444444444438</v>
      </c>
      <c r="E51" s="61">
        <v>50</v>
      </c>
    </row>
    <row r="52" spans="1:5">
      <c r="A52" s="61" t="s">
        <v>152</v>
      </c>
      <c r="B52">
        <v>23150</v>
      </c>
      <c r="C52" t="s">
        <v>35</v>
      </c>
      <c r="D52" s="62">
        <v>0.72222222222222221</v>
      </c>
      <c r="E52" s="61">
        <v>51</v>
      </c>
    </row>
    <row r="53" spans="1:5">
      <c r="A53" s="63" t="s">
        <v>78</v>
      </c>
      <c r="B53" s="58">
        <v>23010</v>
      </c>
      <c r="C53" s="58" t="s">
        <v>22</v>
      </c>
      <c r="D53" s="64">
        <v>0.47291666666666665</v>
      </c>
      <c r="E53" s="61">
        <v>52</v>
      </c>
    </row>
    <row r="54" spans="1:5">
      <c r="A54" s="61" t="s">
        <v>153</v>
      </c>
      <c r="B54">
        <v>23189</v>
      </c>
      <c r="C54" t="s">
        <v>71</v>
      </c>
      <c r="D54" s="62">
        <v>0.61458333333333337</v>
      </c>
      <c r="E54" s="61">
        <v>53</v>
      </c>
    </row>
    <row r="55" spans="1:5">
      <c r="A55" s="61" t="s">
        <v>154</v>
      </c>
      <c r="B55">
        <v>23150</v>
      </c>
      <c r="C55" t="s">
        <v>35</v>
      </c>
      <c r="D55" s="62">
        <v>0.67083333333333339</v>
      </c>
      <c r="E55" s="61">
        <v>54</v>
      </c>
    </row>
    <row r="56" spans="1:5">
      <c r="A56" s="61" t="s">
        <v>155</v>
      </c>
      <c r="B56">
        <v>23189</v>
      </c>
      <c r="C56" t="s">
        <v>71</v>
      </c>
      <c r="D56" s="62">
        <v>0.59652777777777777</v>
      </c>
      <c r="E56" s="61">
        <v>55</v>
      </c>
    </row>
    <row r="57" spans="1:5">
      <c r="A57" s="61" t="s">
        <v>156</v>
      </c>
      <c r="B57">
        <v>20675</v>
      </c>
      <c r="C57" t="s">
        <v>28</v>
      </c>
      <c r="D57" s="62">
        <v>0.8222222222222223</v>
      </c>
      <c r="E57" s="61">
        <v>56</v>
      </c>
    </row>
    <row r="58" spans="1:5">
      <c r="A58" s="61" t="s">
        <v>157</v>
      </c>
      <c r="B58">
        <v>23189</v>
      </c>
      <c r="C58" t="s">
        <v>71</v>
      </c>
      <c r="D58" s="62">
        <v>0.66597222222222219</v>
      </c>
      <c r="E58" s="61">
        <v>57</v>
      </c>
    </row>
    <row r="59" spans="1:5">
      <c r="A59" s="61" t="s">
        <v>158</v>
      </c>
      <c r="B59">
        <v>23010</v>
      </c>
      <c r="C59" t="s">
        <v>22</v>
      </c>
      <c r="D59" s="62">
        <v>0.58194444444444449</v>
      </c>
      <c r="E59" s="61">
        <v>58</v>
      </c>
    </row>
    <row r="60" spans="1:5">
      <c r="A60" s="63" t="s">
        <v>159</v>
      </c>
      <c r="B60" s="58">
        <v>20675</v>
      </c>
      <c r="C60" s="58" t="s">
        <v>28</v>
      </c>
      <c r="D60" s="64">
        <v>0.41875000000000001</v>
      </c>
      <c r="E60" s="61">
        <v>59</v>
      </c>
    </row>
    <row r="61" spans="1:5">
      <c r="A61" s="63" t="s">
        <v>160</v>
      </c>
      <c r="B61" s="58">
        <v>23189</v>
      </c>
      <c r="C61" s="58" t="s">
        <v>71</v>
      </c>
      <c r="D61" s="64">
        <v>0.40763888888888888</v>
      </c>
      <c r="E61" s="61">
        <v>60</v>
      </c>
    </row>
    <row r="62" spans="1:5">
      <c r="A62" s="63" t="s">
        <v>161</v>
      </c>
      <c r="B62" s="58">
        <v>21083</v>
      </c>
      <c r="C62" s="58" t="s">
        <v>31</v>
      </c>
      <c r="D62" s="64">
        <v>0.45624999999999999</v>
      </c>
      <c r="E62" s="61">
        <v>61</v>
      </c>
    </row>
    <row r="63" spans="1:5">
      <c r="A63" s="61" t="s">
        <v>162</v>
      </c>
      <c r="B63">
        <v>23011</v>
      </c>
      <c r="C63" t="s">
        <v>27</v>
      </c>
      <c r="D63" s="62">
        <v>0.41041666666666665</v>
      </c>
      <c r="E63" s="61">
        <v>62</v>
      </c>
    </row>
    <row r="64" spans="1:5">
      <c r="A64" s="61" t="s">
        <v>163</v>
      </c>
      <c r="B64">
        <v>22815</v>
      </c>
      <c r="C64" t="s">
        <v>32</v>
      </c>
      <c r="D64" s="62">
        <v>0.39583333333333331</v>
      </c>
      <c r="E64" s="61">
        <v>63</v>
      </c>
    </row>
    <row r="65" spans="1:5">
      <c r="A65" s="61" t="s">
        <v>164</v>
      </c>
      <c r="B65">
        <v>23150</v>
      </c>
      <c r="C65" t="s">
        <v>35</v>
      </c>
      <c r="D65" s="62">
        <v>0.77013888888888893</v>
      </c>
      <c r="E65" s="61">
        <v>64</v>
      </c>
    </row>
    <row r="66" spans="1:5">
      <c r="A66" s="63" t="s">
        <v>165</v>
      </c>
      <c r="B66" s="58">
        <v>23150</v>
      </c>
      <c r="C66" s="58" t="s">
        <v>35</v>
      </c>
      <c r="D66" s="64">
        <v>0.48402777777777778</v>
      </c>
      <c r="E66" s="61">
        <v>65</v>
      </c>
    </row>
    <row r="67" spans="1:5">
      <c r="A67" s="61" t="s">
        <v>166</v>
      </c>
      <c r="B67">
        <v>22815</v>
      </c>
      <c r="C67" t="s">
        <v>32</v>
      </c>
      <c r="D67" s="62">
        <v>0.5</v>
      </c>
      <c r="E67" s="61">
        <v>66</v>
      </c>
    </row>
    <row r="68" spans="1:5">
      <c r="A68" s="61" t="s">
        <v>167</v>
      </c>
      <c r="B68">
        <v>23076</v>
      </c>
      <c r="C68" t="s">
        <v>29</v>
      </c>
      <c r="D68" s="62">
        <v>0.6645833333333333</v>
      </c>
      <c r="E68" s="61">
        <v>67</v>
      </c>
    </row>
    <row r="69" spans="1:5">
      <c r="A69" s="61" t="s">
        <v>168</v>
      </c>
      <c r="B69">
        <v>21083</v>
      </c>
      <c r="C69" t="s">
        <v>31</v>
      </c>
      <c r="D69" s="62">
        <v>0.4069444444444445</v>
      </c>
      <c r="E69" s="61">
        <v>68</v>
      </c>
    </row>
    <row r="70" spans="1:5">
      <c r="A70" s="61" t="s">
        <v>169</v>
      </c>
      <c r="B70">
        <v>21083</v>
      </c>
      <c r="C70" t="s">
        <v>31</v>
      </c>
      <c r="D70" s="62">
        <v>0.85763888888888884</v>
      </c>
      <c r="E70" s="61">
        <v>69</v>
      </c>
    </row>
    <row r="71" spans="1:5">
      <c r="A71" s="61" t="s">
        <v>170</v>
      </c>
      <c r="B71">
        <v>22815</v>
      </c>
      <c r="C71" t="s">
        <v>32</v>
      </c>
      <c r="D71" s="62">
        <v>0.66527777777777775</v>
      </c>
      <c r="E71" s="61">
        <v>70</v>
      </c>
    </row>
    <row r="72" spans="1:5">
      <c r="A72" s="63" t="s">
        <v>91</v>
      </c>
      <c r="B72" s="58">
        <v>23189</v>
      </c>
      <c r="C72" s="58" t="s">
        <v>71</v>
      </c>
      <c r="D72" s="64">
        <v>0.46458333333333335</v>
      </c>
      <c r="E72" s="61">
        <v>71</v>
      </c>
    </row>
    <row r="73" spans="1:5">
      <c r="A73" s="80" t="s">
        <v>85</v>
      </c>
      <c r="B73" s="59">
        <v>23189</v>
      </c>
      <c r="C73" s="59" t="s">
        <v>71</v>
      </c>
      <c r="D73" s="82">
        <v>0.4201388888888889</v>
      </c>
      <c r="E73" s="61">
        <v>72</v>
      </c>
    </row>
    <row r="74" spans="1:5">
      <c r="A74" s="61" t="s">
        <v>98</v>
      </c>
      <c r="B74">
        <v>21083</v>
      </c>
      <c r="C74" t="s">
        <v>31</v>
      </c>
      <c r="D74" s="62">
        <v>0.50277777777777777</v>
      </c>
      <c r="E74" s="61">
        <v>73</v>
      </c>
    </row>
    <row r="75" spans="1:5">
      <c r="A75" s="61" t="s">
        <v>171</v>
      </c>
      <c r="B75">
        <v>23150</v>
      </c>
      <c r="C75" t="s">
        <v>35</v>
      </c>
      <c r="D75" s="62">
        <v>0.39444444444444443</v>
      </c>
      <c r="E75" s="61">
        <v>74</v>
      </c>
    </row>
    <row r="76" spans="1:5">
      <c r="A76" s="61" t="s">
        <v>173</v>
      </c>
      <c r="B76">
        <v>22815</v>
      </c>
      <c r="C76" t="s">
        <v>32</v>
      </c>
      <c r="D76" s="62">
        <v>0.59791666666666665</v>
      </c>
      <c r="E76" s="61">
        <v>75</v>
      </c>
    </row>
    <row r="77" spans="1:5">
      <c r="A77" s="63" t="s">
        <v>93</v>
      </c>
      <c r="B77" s="58">
        <v>20675</v>
      </c>
      <c r="C77" s="58" t="s">
        <v>28</v>
      </c>
      <c r="D77" s="64">
        <v>0.48472222222222222</v>
      </c>
      <c r="E77" s="61">
        <v>76</v>
      </c>
    </row>
    <row r="78" spans="1:5">
      <c r="A78" s="61" t="s">
        <v>174</v>
      </c>
      <c r="B78">
        <v>23150</v>
      </c>
      <c r="C78" t="s">
        <v>35</v>
      </c>
      <c r="D78" s="62">
        <v>0.55833333333333335</v>
      </c>
      <c r="E78" s="61">
        <v>77</v>
      </c>
    </row>
    <row r="79" spans="1:5">
      <c r="A79" s="63" t="s">
        <v>107</v>
      </c>
      <c r="B79" s="58">
        <v>23189</v>
      </c>
      <c r="C79" s="58" t="s">
        <v>71</v>
      </c>
      <c r="D79" s="64">
        <v>0.48402777777777778</v>
      </c>
      <c r="E79" s="61">
        <v>78</v>
      </c>
    </row>
    <row r="80" spans="1:5">
      <c r="A80" s="61" t="s">
        <v>175</v>
      </c>
      <c r="B80">
        <v>22636</v>
      </c>
      <c r="C80" t="s">
        <v>21</v>
      </c>
      <c r="D80" s="62">
        <v>0.82013888888888886</v>
      </c>
      <c r="E80" s="61">
        <v>79</v>
      </c>
    </row>
    <row r="81" spans="1:5">
      <c r="A81" s="61" t="s">
        <v>176</v>
      </c>
      <c r="B81">
        <v>23010</v>
      </c>
      <c r="C81" t="s">
        <v>22</v>
      </c>
      <c r="D81" s="62">
        <v>0.8256944444444444</v>
      </c>
      <c r="E81" s="61">
        <v>80</v>
      </c>
    </row>
    <row r="82" spans="1:5">
      <c r="A82" s="61" t="s">
        <v>177</v>
      </c>
      <c r="B82">
        <v>22815</v>
      </c>
      <c r="C82" t="s">
        <v>32</v>
      </c>
      <c r="D82" s="62">
        <v>0.67986111111111114</v>
      </c>
      <c r="E82" s="61">
        <v>81</v>
      </c>
    </row>
    <row r="83" spans="1:5">
      <c r="A83" s="61" t="s">
        <v>178</v>
      </c>
      <c r="B83">
        <v>23189</v>
      </c>
      <c r="C83" t="s">
        <v>71</v>
      </c>
      <c r="D83" s="62">
        <v>0.5</v>
      </c>
      <c r="E83" s="61">
        <v>82</v>
      </c>
    </row>
    <row r="84" spans="1:5">
      <c r="A84" s="61" t="s">
        <v>179</v>
      </c>
      <c r="B84">
        <v>23189</v>
      </c>
      <c r="C84" t="s">
        <v>71</v>
      </c>
      <c r="D84" s="62">
        <v>0.55833333333333335</v>
      </c>
      <c r="E84" s="61">
        <v>83</v>
      </c>
    </row>
    <row r="85" spans="1:5">
      <c r="A85" s="61" t="s">
        <v>180</v>
      </c>
      <c r="B85">
        <v>22815</v>
      </c>
      <c r="C85" t="s">
        <v>32</v>
      </c>
      <c r="D85" s="62">
        <v>0.5625</v>
      </c>
      <c r="E85" s="61">
        <v>84</v>
      </c>
    </row>
    <row r="86" spans="1:5">
      <c r="A86" s="61" t="s">
        <v>183</v>
      </c>
      <c r="B86">
        <v>21083</v>
      </c>
      <c r="C86" t="s">
        <v>31</v>
      </c>
      <c r="D86" s="62">
        <v>0.68888888888888899</v>
      </c>
      <c r="E86" s="61">
        <v>85</v>
      </c>
    </row>
    <row r="87" spans="1:5">
      <c r="A87" s="61" t="s">
        <v>184</v>
      </c>
      <c r="B87">
        <v>21083</v>
      </c>
      <c r="C87" t="s">
        <v>31</v>
      </c>
      <c r="D87" s="62">
        <v>0.58819444444444446</v>
      </c>
      <c r="E87" s="61">
        <v>86</v>
      </c>
    </row>
    <row r="88" spans="1:5">
      <c r="A88" s="61" t="s">
        <v>185</v>
      </c>
      <c r="B88">
        <v>20675</v>
      </c>
      <c r="C88" t="s">
        <v>28</v>
      </c>
      <c r="D88" s="62">
        <v>0.55277777777777781</v>
      </c>
      <c r="E88" s="61">
        <v>87</v>
      </c>
    </row>
    <row r="89" spans="1:5">
      <c r="A89" s="61" t="s">
        <v>186</v>
      </c>
      <c r="B89">
        <v>20675</v>
      </c>
      <c r="C89" t="s">
        <v>28</v>
      </c>
      <c r="D89" s="62">
        <v>0.58194444444444449</v>
      </c>
      <c r="E89" s="61">
        <v>88</v>
      </c>
    </row>
    <row r="90" spans="1:5">
      <c r="A90" s="61" t="s">
        <v>188</v>
      </c>
      <c r="B90">
        <v>20675</v>
      </c>
      <c r="C90" t="s">
        <v>28</v>
      </c>
      <c r="D90" s="62">
        <v>0.41944444444444445</v>
      </c>
      <c r="E90" s="61">
        <v>89</v>
      </c>
    </row>
    <row r="91" spans="1:5">
      <c r="A91" s="63" t="s">
        <v>190</v>
      </c>
      <c r="B91" s="58">
        <v>23335</v>
      </c>
      <c r="C91" s="58" t="s">
        <v>37</v>
      </c>
      <c r="D91" s="64">
        <v>0.39861111111111108</v>
      </c>
      <c r="E91" s="61">
        <v>90</v>
      </c>
    </row>
    <row r="92" spans="1:5">
      <c r="A92" s="63" t="s">
        <v>82</v>
      </c>
      <c r="B92" s="58">
        <v>23335</v>
      </c>
      <c r="C92" s="58" t="s">
        <v>37</v>
      </c>
      <c r="D92" s="64">
        <v>0.41875000000000001</v>
      </c>
      <c r="E92" s="61">
        <v>91</v>
      </c>
    </row>
    <row r="93" spans="1:5">
      <c r="A93" s="61" t="s">
        <v>191</v>
      </c>
      <c r="B93">
        <v>23335</v>
      </c>
      <c r="C93" t="s">
        <v>37</v>
      </c>
      <c r="D93" s="62">
        <v>0.49652777777777773</v>
      </c>
      <c r="E93" s="61">
        <v>92</v>
      </c>
    </row>
    <row r="94" spans="1:5">
      <c r="A94" s="61" t="s">
        <v>192</v>
      </c>
      <c r="B94">
        <v>22926</v>
      </c>
      <c r="C94" t="s">
        <v>45</v>
      </c>
      <c r="D94" s="62">
        <v>0.62222222222222223</v>
      </c>
      <c r="E94" s="61">
        <v>93</v>
      </c>
    </row>
    <row r="95" spans="1:5">
      <c r="A95" s="61" t="s">
        <v>193</v>
      </c>
      <c r="B95">
        <v>10976</v>
      </c>
      <c r="C95" t="s">
        <v>73</v>
      </c>
      <c r="D95" s="62">
        <v>0.61527777777777781</v>
      </c>
      <c r="E95" s="61">
        <v>94</v>
      </c>
    </row>
    <row r="96" spans="1:5">
      <c r="A96" s="61" t="s">
        <v>194</v>
      </c>
      <c r="B96">
        <v>23213</v>
      </c>
      <c r="C96" t="s">
        <v>72</v>
      </c>
      <c r="D96" s="62">
        <v>0.60069444444444442</v>
      </c>
      <c r="E96" s="61">
        <v>95</v>
      </c>
    </row>
    <row r="97" spans="1:5">
      <c r="A97" s="63" t="s">
        <v>195</v>
      </c>
      <c r="B97" s="58">
        <v>10976</v>
      </c>
      <c r="C97" s="58" t="s">
        <v>73</v>
      </c>
      <c r="D97" s="64">
        <v>0.41250000000000003</v>
      </c>
      <c r="E97" s="61">
        <v>96</v>
      </c>
    </row>
    <row r="98" spans="1:5">
      <c r="A98" s="63" t="s">
        <v>86</v>
      </c>
      <c r="B98" s="58">
        <v>22816</v>
      </c>
      <c r="C98" s="58" t="s">
        <v>19</v>
      </c>
      <c r="D98" s="64">
        <v>0.46111111111111108</v>
      </c>
      <c r="E98" s="61">
        <v>97</v>
      </c>
    </row>
    <row r="99" spans="1:5">
      <c r="A99" s="61" t="s">
        <v>196</v>
      </c>
      <c r="B99">
        <v>10976</v>
      </c>
      <c r="C99" t="s">
        <v>73</v>
      </c>
      <c r="D99" s="62">
        <v>0.50555555555555554</v>
      </c>
      <c r="E99" s="61">
        <v>98</v>
      </c>
    </row>
    <row r="100" spans="1:5">
      <c r="A100" s="61" t="s">
        <v>95</v>
      </c>
      <c r="B100">
        <v>23213</v>
      </c>
      <c r="C100" t="s">
        <v>72</v>
      </c>
      <c r="D100" s="62">
        <v>0.69097222222222221</v>
      </c>
      <c r="E100" s="61">
        <v>99</v>
      </c>
    </row>
    <row r="101" spans="1:5">
      <c r="A101" s="61" t="s">
        <v>96</v>
      </c>
      <c r="B101">
        <v>23335</v>
      </c>
      <c r="C101" t="s">
        <v>37</v>
      </c>
      <c r="D101" s="62">
        <v>0.6069444444444444</v>
      </c>
      <c r="E101" s="61">
        <v>100</v>
      </c>
    </row>
    <row r="102" spans="1:5">
      <c r="A102" s="61" t="s">
        <v>197</v>
      </c>
      <c r="B102">
        <v>22926</v>
      </c>
      <c r="C102" t="s">
        <v>45</v>
      </c>
      <c r="D102" s="62">
        <v>0.56597222222222221</v>
      </c>
      <c r="E102" s="61">
        <v>101</v>
      </c>
    </row>
    <row r="103" spans="1:5">
      <c r="A103" s="63" t="s">
        <v>198</v>
      </c>
      <c r="B103" s="58">
        <v>22926</v>
      </c>
      <c r="C103" s="58" t="s">
        <v>45</v>
      </c>
      <c r="D103" s="64">
        <v>0.41250000000000003</v>
      </c>
      <c r="E103" s="61">
        <v>102</v>
      </c>
    </row>
    <row r="104" spans="1:5">
      <c r="A104" s="63" t="s">
        <v>89</v>
      </c>
      <c r="B104" s="58">
        <v>23335</v>
      </c>
      <c r="C104" s="58" t="s">
        <v>37</v>
      </c>
      <c r="D104" s="64">
        <v>0.45347222222222222</v>
      </c>
      <c r="E104" s="61">
        <v>103</v>
      </c>
    </row>
    <row r="105" spans="1:5">
      <c r="A105" s="63" t="s">
        <v>104</v>
      </c>
      <c r="B105" s="58">
        <v>22926</v>
      </c>
      <c r="C105" s="58" t="s">
        <v>45</v>
      </c>
      <c r="D105" s="64">
        <v>0.48194444444444445</v>
      </c>
      <c r="E105" s="61">
        <v>104</v>
      </c>
    </row>
    <row r="106" spans="1:5">
      <c r="A106" s="61" t="s">
        <v>199</v>
      </c>
      <c r="B106">
        <v>23195</v>
      </c>
      <c r="C106" t="s">
        <v>42</v>
      </c>
      <c r="D106" s="62">
        <v>0.57152777777777775</v>
      </c>
      <c r="E106" s="61">
        <v>105</v>
      </c>
    </row>
    <row r="107" spans="1:5">
      <c r="A107" s="61" t="s">
        <v>200</v>
      </c>
      <c r="B107">
        <v>22816</v>
      </c>
      <c r="C107" t="s">
        <v>19</v>
      </c>
      <c r="D107" s="62">
        <v>0.6777777777777777</v>
      </c>
      <c r="E107" s="61">
        <v>106</v>
      </c>
    </row>
    <row r="108" spans="1:5">
      <c r="A108" s="61" t="s">
        <v>201</v>
      </c>
      <c r="B108">
        <v>22926</v>
      </c>
      <c r="C108" t="s">
        <v>45</v>
      </c>
      <c r="D108" s="62">
        <v>0.70000000000000007</v>
      </c>
      <c r="E108" s="61">
        <v>107</v>
      </c>
    </row>
    <row r="109" spans="1:5">
      <c r="A109" s="63" t="s">
        <v>202</v>
      </c>
      <c r="B109" s="58">
        <v>21575</v>
      </c>
      <c r="C109" s="58" t="s">
        <v>48</v>
      </c>
      <c r="D109" s="64">
        <v>0.3979166666666667</v>
      </c>
      <c r="E109" s="61">
        <v>108</v>
      </c>
    </row>
    <row r="110" spans="1:5">
      <c r="A110" s="63" t="s">
        <v>88</v>
      </c>
      <c r="B110" s="58">
        <v>10976</v>
      </c>
      <c r="C110" s="58" t="s">
        <v>73</v>
      </c>
      <c r="D110" s="64">
        <v>0.4777777777777778</v>
      </c>
      <c r="E110" s="61">
        <v>109</v>
      </c>
    </row>
    <row r="111" spans="1:5">
      <c r="A111" s="63" t="s">
        <v>105</v>
      </c>
      <c r="B111" s="58">
        <v>23195</v>
      </c>
      <c r="C111" s="58" t="s">
        <v>42</v>
      </c>
      <c r="D111" s="64">
        <v>0.4861111111111111</v>
      </c>
      <c r="E111" s="61">
        <v>110</v>
      </c>
    </row>
    <row r="112" spans="1:5">
      <c r="A112" s="61" t="s">
        <v>203</v>
      </c>
      <c r="B112">
        <v>23025</v>
      </c>
      <c r="C112" t="s">
        <v>43</v>
      </c>
      <c r="D112" s="62">
        <v>0.6743055555555556</v>
      </c>
      <c r="E112" s="61">
        <v>111</v>
      </c>
    </row>
    <row r="113" spans="1:5">
      <c r="A113" s="61" t="s">
        <v>204</v>
      </c>
      <c r="B113">
        <v>22816</v>
      </c>
      <c r="C113" t="s">
        <v>19</v>
      </c>
      <c r="D113" s="62">
        <v>0.79513888888888884</v>
      </c>
      <c r="E113" s="61">
        <v>112</v>
      </c>
    </row>
    <row r="114" spans="1:5">
      <c r="A114" s="63" t="s">
        <v>205</v>
      </c>
      <c r="B114" s="58">
        <v>23213</v>
      </c>
      <c r="C114" s="58" t="s">
        <v>72</v>
      </c>
      <c r="D114" s="64">
        <v>0.39027777777777778</v>
      </c>
      <c r="E114" s="61">
        <v>113</v>
      </c>
    </row>
    <row r="115" spans="1:5">
      <c r="A115" s="63" t="s">
        <v>87</v>
      </c>
      <c r="B115" s="58">
        <v>22926</v>
      </c>
      <c r="C115" s="58" t="s">
        <v>45</v>
      </c>
      <c r="D115" s="64">
        <v>0.46249999999999997</v>
      </c>
      <c r="E115" s="61">
        <v>114</v>
      </c>
    </row>
    <row r="116" spans="1:5">
      <c r="A116" s="79" t="s">
        <v>103</v>
      </c>
      <c r="B116" s="57">
        <v>22816</v>
      </c>
      <c r="C116" s="57" t="s">
        <v>19</v>
      </c>
      <c r="D116" s="81">
        <v>0.50624999999999998</v>
      </c>
      <c r="E116" s="61">
        <v>115</v>
      </c>
    </row>
    <row r="117" spans="1:5">
      <c r="A117" s="61" t="s">
        <v>206</v>
      </c>
      <c r="B117">
        <v>23025</v>
      </c>
      <c r="C117" t="s">
        <v>43</v>
      </c>
      <c r="D117" s="62">
        <v>0.82013888888888886</v>
      </c>
      <c r="E117" s="61">
        <v>116</v>
      </c>
    </row>
    <row r="118" spans="1:5">
      <c r="A118" s="61" t="s">
        <v>208</v>
      </c>
      <c r="B118">
        <v>23025</v>
      </c>
      <c r="C118" t="s">
        <v>43</v>
      </c>
      <c r="D118" s="62">
        <v>0.83124999999999993</v>
      </c>
      <c r="E118" s="61">
        <v>117</v>
      </c>
    </row>
    <row r="119" spans="1:5">
      <c r="A119" s="63" t="s">
        <v>209</v>
      </c>
      <c r="B119" s="58">
        <v>23213</v>
      </c>
      <c r="C119" s="58" t="s">
        <v>72</v>
      </c>
      <c r="D119" s="64">
        <v>0.39027777777777778</v>
      </c>
      <c r="E119" s="61">
        <v>118</v>
      </c>
    </row>
    <row r="120" spans="1:5">
      <c r="A120" s="63" t="s">
        <v>210</v>
      </c>
      <c r="B120" s="58">
        <v>22926</v>
      </c>
      <c r="C120" s="58" t="s">
        <v>45</v>
      </c>
      <c r="D120" s="64">
        <v>0.48125000000000001</v>
      </c>
      <c r="E120" s="61">
        <v>119</v>
      </c>
    </row>
    <row r="121" spans="1:5">
      <c r="A121" s="61" t="s">
        <v>212</v>
      </c>
      <c r="B121">
        <v>22926</v>
      </c>
      <c r="C121" t="s">
        <v>45</v>
      </c>
      <c r="D121" s="62">
        <v>0.37777777777777777</v>
      </c>
      <c r="E121" s="61">
        <v>120</v>
      </c>
    </row>
    <row r="122" spans="1:5">
      <c r="A122" s="61" t="s">
        <v>213</v>
      </c>
      <c r="B122">
        <v>10976</v>
      </c>
      <c r="C122" t="s">
        <v>73</v>
      </c>
      <c r="D122" s="62">
        <v>0.69166666666666676</v>
      </c>
      <c r="E122" s="61">
        <v>121</v>
      </c>
    </row>
    <row r="123" spans="1:5">
      <c r="A123" s="61" t="s">
        <v>214</v>
      </c>
      <c r="B123">
        <v>23335</v>
      </c>
      <c r="C123" t="s">
        <v>37</v>
      </c>
      <c r="D123" s="62">
        <v>0.56527777777777777</v>
      </c>
      <c r="E123" s="61">
        <v>122</v>
      </c>
    </row>
    <row r="124" spans="1:5">
      <c r="A124" s="61" t="s">
        <v>215</v>
      </c>
      <c r="B124">
        <v>22926</v>
      </c>
      <c r="C124" t="s">
        <v>45</v>
      </c>
      <c r="D124" s="62">
        <v>0.69097222222222221</v>
      </c>
      <c r="E124" s="61">
        <v>123</v>
      </c>
    </row>
    <row r="125" spans="1:5">
      <c r="A125" s="63" t="s">
        <v>216</v>
      </c>
      <c r="B125" s="58">
        <v>23195</v>
      </c>
      <c r="C125" s="58" t="s">
        <v>42</v>
      </c>
      <c r="D125" s="64">
        <v>0.40277777777777773</v>
      </c>
      <c r="E125" s="61">
        <v>124</v>
      </c>
    </row>
    <row r="126" spans="1:5">
      <c r="A126" s="63" t="s">
        <v>84</v>
      </c>
      <c r="B126" s="58">
        <v>23195</v>
      </c>
      <c r="C126" s="58" t="s">
        <v>42</v>
      </c>
      <c r="D126" s="64">
        <v>0.46388888888888885</v>
      </c>
      <c r="E126" s="61">
        <v>125</v>
      </c>
    </row>
    <row r="127" spans="1:5">
      <c r="A127" s="63" t="s">
        <v>97</v>
      </c>
      <c r="B127" s="58">
        <v>23335</v>
      </c>
      <c r="C127" s="58" t="s">
        <v>37</v>
      </c>
      <c r="D127" s="64">
        <v>0.47916666666666669</v>
      </c>
      <c r="E127" s="61">
        <v>126</v>
      </c>
    </row>
    <row r="128" spans="1:5">
      <c r="A128" s="61" t="s">
        <v>217</v>
      </c>
      <c r="B128">
        <v>22926</v>
      </c>
      <c r="C128" t="s">
        <v>45</v>
      </c>
      <c r="D128" s="62">
        <v>0.68402777777777779</v>
      </c>
      <c r="E128" s="61">
        <v>127</v>
      </c>
    </row>
    <row r="129" spans="1:5">
      <c r="A129" s="61" t="s">
        <v>218</v>
      </c>
      <c r="B129">
        <v>23213</v>
      </c>
      <c r="C129" t="s">
        <v>72</v>
      </c>
      <c r="D129" s="62">
        <v>0.56111111111111112</v>
      </c>
      <c r="E129" s="61">
        <v>128</v>
      </c>
    </row>
    <row r="130" spans="1:5">
      <c r="A130" s="61" t="s">
        <v>219</v>
      </c>
      <c r="B130">
        <v>23025</v>
      </c>
      <c r="C130" t="s">
        <v>43</v>
      </c>
      <c r="D130" s="62">
        <v>0.70277777777777783</v>
      </c>
      <c r="E130" s="61">
        <v>129</v>
      </c>
    </row>
    <row r="131" spans="1:5">
      <c r="A131" s="61" t="s">
        <v>77</v>
      </c>
      <c r="B131">
        <v>23213</v>
      </c>
      <c r="C131" t="s">
        <v>72</v>
      </c>
      <c r="D131" s="62">
        <v>0.55972222222222223</v>
      </c>
      <c r="E131" s="61">
        <v>130</v>
      </c>
    </row>
    <row r="132" spans="1:5">
      <c r="A132" s="61" t="s">
        <v>220</v>
      </c>
      <c r="B132">
        <v>23335</v>
      </c>
      <c r="C132" t="s">
        <v>37</v>
      </c>
      <c r="D132" s="62">
        <v>0.39027777777777778</v>
      </c>
      <c r="E132" s="61">
        <v>131</v>
      </c>
    </row>
    <row r="133" spans="1:5">
      <c r="A133" s="63" t="s">
        <v>222</v>
      </c>
      <c r="B133" s="58">
        <v>23007</v>
      </c>
      <c r="C133" s="58" t="s">
        <v>75</v>
      </c>
      <c r="D133" s="64">
        <v>0.40277777777777773</v>
      </c>
      <c r="E133" s="61">
        <v>132</v>
      </c>
    </row>
    <row r="134" spans="1:5">
      <c r="A134" s="63" t="s">
        <v>223</v>
      </c>
      <c r="B134" s="58">
        <v>23007</v>
      </c>
      <c r="C134" s="58" t="s">
        <v>75</v>
      </c>
      <c r="D134" s="64">
        <v>0.40277777777777773</v>
      </c>
      <c r="E134" s="61">
        <v>133</v>
      </c>
    </row>
    <row r="135" spans="1:5">
      <c r="A135" s="63" t="s">
        <v>224</v>
      </c>
      <c r="B135" s="58">
        <v>23007</v>
      </c>
      <c r="C135" s="58" t="s">
        <v>75</v>
      </c>
      <c r="D135" s="64">
        <v>0.40347222222222223</v>
      </c>
      <c r="E135" s="61">
        <v>134</v>
      </c>
    </row>
    <row r="136" spans="1:5">
      <c r="A136" s="63" t="s">
        <v>225</v>
      </c>
      <c r="B136" s="58">
        <v>23007</v>
      </c>
      <c r="C136" s="58" t="s">
        <v>75</v>
      </c>
      <c r="D136" s="64">
        <v>0.40277777777777773</v>
      </c>
      <c r="E136" s="61">
        <v>135</v>
      </c>
    </row>
    <row r="137" spans="1:5">
      <c r="A137" s="63" t="s">
        <v>226</v>
      </c>
      <c r="B137" s="58">
        <v>23007</v>
      </c>
      <c r="C137" s="58" t="s">
        <v>75</v>
      </c>
      <c r="D137" s="64">
        <v>0.40347222222222223</v>
      </c>
      <c r="E137" s="61">
        <v>136</v>
      </c>
    </row>
    <row r="138" spans="1:5">
      <c r="A138" s="63" t="s">
        <v>227</v>
      </c>
      <c r="B138" s="58">
        <v>23007</v>
      </c>
      <c r="C138" s="58" t="s">
        <v>75</v>
      </c>
      <c r="D138" s="64">
        <v>0.40347222222222223</v>
      </c>
      <c r="E138" s="61">
        <v>137</v>
      </c>
    </row>
    <row r="139" spans="1:5">
      <c r="A139" s="63" t="s">
        <v>228</v>
      </c>
      <c r="B139" s="58">
        <v>23007</v>
      </c>
      <c r="C139" s="58" t="s">
        <v>75</v>
      </c>
      <c r="D139" s="64">
        <v>0.40347222222222223</v>
      </c>
      <c r="E139" s="61">
        <v>138</v>
      </c>
    </row>
    <row r="140" spans="1:5">
      <c r="A140" s="63" t="s">
        <v>229</v>
      </c>
      <c r="B140" s="58">
        <v>23007</v>
      </c>
      <c r="C140" s="58" t="s">
        <v>75</v>
      </c>
      <c r="D140" s="64">
        <v>0.40347222222222223</v>
      </c>
      <c r="E140" s="61">
        <v>139</v>
      </c>
    </row>
    <row r="141" spans="1:5">
      <c r="A141" s="63" t="s">
        <v>230</v>
      </c>
      <c r="B141" s="58">
        <v>23007</v>
      </c>
      <c r="C141" s="58" t="s">
        <v>75</v>
      </c>
      <c r="D141" s="64">
        <v>0.36180555555555555</v>
      </c>
      <c r="E141" s="61">
        <v>140</v>
      </c>
    </row>
    <row r="142" spans="1:5">
      <c r="A142" s="63" t="s">
        <v>231</v>
      </c>
      <c r="B142" s="58">
        <v>23007</v>
      </c>
      <c r="C142" s="58" t="s">
        <v>75</v>
      </c>
      <c r="D142" s="64">
        <v>0.40277777777777773</v>
      </c>
      <c r="E142" s="61">
        <v>141</v>
      </c>
    </row>
    <row r="143" spans="1:5">
      <c r="A143" s="61" t="s">
        <v>232</v>
      </c>
      <c r="B143">
        <v>11552</v>
      </c>
      <c r="C143" t="s">
        <v>60</v>
      </c>
      <c r="D143" s="62">
        <v>0.69027777777777777</v>
      </c>
      <c r="E143" s="61">
        <v>142</v>
      </c>
    </row>
    <row r="144" spans="1:5">
      <c r="A144" s="61" t="s">
        <v>233</v>
      </c>
      <c r="B144">
        <v>23007</v>
      </c>
      <c r="C144" t="s">
        <v>75</v>
      </c>
      <c r="D144" s="62">
        <v>0.81388888888888899</v>
      </c>
      <c r="E144" s="61">
        <v>143</v>
      </c>
    </row>
    <row r="145" spans="1:5">
      <c r="A145" s="63" t="s">
        <v>234</v>
      </c>
      <c r="B145" s="58">
        <v>23007</v>
      </c>
      <c r="C145" s="58" t="s">
        <v>75</v>
      </c>
      <c r="D145" s="64">
        <v>0.40277777777777773</v>
      </c>
      <c r="E145" s="61">
        <v>144</v>
      </c>
    </row>
    <row r="146" spans="1:5">
      <c r="A146" s="61" t="s">
        <v>235</v>
      </c>
      <c r="B146">
        <v>21262</v>
      </c>
      <c r="C146" t="s">
        <v>50</v>
      </c>
      <c r="D146" s="62">
        <v>0.82638888888888884</v>
      </c>
      <c r="E146" s="61">
        <v>145</v>
      </c>
    </row>
    <row r="147" spans="1:5">
      <c r="A147" s="61" t="s">
        <v>83</v>
      </c>
      <c r="B147">
        <v>23007</v>
      </c>
      <c r="C147" t="s">
        <v>75</v>
      </c>
      <c r="D147" s="62">
        <v>0.6</v>
      </c>
      <c r="E147" s="61">
        <v>146</v>
      </c>
    </row>
    <row r="148" spans="1:5">
      <c r="A148" s="61" t="s">
        <v>236</v>
      </c>
      <c r="B148">
        <v>21360</v>
      </c>
      <c r="C148" t="s">
        <v>56</v>
      </c>
      <c r="D148" s="62">
        <v>0.65069444444444446</v>
      </c>
      <c r="E148" s="61">
        <v>147</v>
      </c>
    </row>
    <row r="149" spans="1:5">
      <c r="A149" s="61" t="s">
        <v>237</v>
      </c>
      <c r="B149">
        <v>22939</v>
      </c>
      <c r="C149" t="s">
        <v>57</v>
      </c>
      <c r="D149" s="62">
        <v>0.82986111111111116</v>
      </c>
      <c r="E149" s="61">
        <v>148</v>
      </c>
    </row>
    <row r="150" spans="1:5">
      <c r="A150" s="61" t="s">
        <v>238</v>
      </c>
      <c r="B150">
        <v>23135</v>
      </c>
      <c r="C150" t="s">
        <v>49</v>
      </c>
      <c r="D150" s="62">
        <v>0.69444444444444453</v>
      </c>
      <c r="E150" s="61">
        <v>149</v>
      </c>
    </row>
    <row r="151" spans="1:5">
      <c r="A151" s="61" t="s">
        <v>239</v>
      </c>
      <c r="B151">
        <v>23007</v>
      </c>
      <c r="C151" t="s">
        <v>75</v>
      </c>
      <c r="D151" s="62">
        <v>0.81388888888888899</v>
      </c>
      <c r="E151" s="61">
        <v>150</v>
      </c>
    </row>
    <row r="152" spans="1:5">
      <c r="A152" s="61" t="s">
        <v>240</v>
      </c>
      <c r="B152">
        <v>23376</v>
      </c>
      <c r="C152" t="s">
        <v>54</v>
      </c>
      <c r="D152" s="62">
        <v>0.64513888888888882</v>
      </c>
      <c r="E152" s="61">
        <v>151</v>
      </c>
    </row>
    <row r="153" spans="1:5">
      <c r="A153" s="61" t="s">
        <v>241</v>
      </c>
      <c r="B153">
        <v>23032</v>
      </c>
      <c r="C153" t="s">
        <v>53</v>
      </c>
      <c r="D153" s="62">
        <v>0.58472222222222225</v>
      </c>
      <c r="E153" s="61">
        <v>152</v>
      </c>
    </row>
    <row r="154" spans="1:5">
      <c r="A154" s="61" t="s">
        <v>242</v>
      </c>
      <c r="B154">
        <v>23032</v>
      </c>
      <c r="C154" t="s">
        <v>53</v>
      </c>
      <c r="D154" s="62">
        <v>0.69305555555555554</v>
      </c>
      <c r="E154" s="61">
        <v>153</v>
      </c>
    </row>
    <row r="155" spans="1:5">
      <c r="A155" s="63" t="s">
        <v>90</v>
      </c>
      <c r="B155" s="58">
        <v>21262</v>
      </c>
      <c r="C155" s="58" t="s">
        <v>50</v>
      </c>
      <c r="D155" s="64">
        <v>0.46736111111111112</v>
      </c>
      <c r="E155" s="61">
        <v>154</v>
      </c>
    </row>
    <row r="156" spans="1:5">
      <c r="A156" s="61" t="s">
        <v>243</v>
      </c>
      <c r="B156">
        <v>21262</v>
      </c>
      <c r="C156" t="s">
        <v>50</v>
      </c>
      <c r="D156" s="62">
        <v>0.62013888888888891</v>
      </c>
      <c r="E156" s="61">
        <v>155</v>
      </c>
    </row>
    <row r="157" spans="1:5">
      <c r="A157" s="61" t="s">
        <v>244</v>
      </c>
      <c r="B157">
        <v>21262</v>
      </c>
      <c r="C157" t="s">
        <v>50</v>
      </c>
      <c r="D157" s="62">
        <v>0.5756944444444444</v>
      </c>
      <c r="E157" s="61">
        <v>156</v>
      </c>
    </row>
    <row r="158" spans="1:5">
      <c r="A158" s="61" t="s">
        <v>110</v>
      </c>
      <c r="B158">
        <v>21262</v>
      </c>
      <c r="C158" t="s">
        <v>50</v>
      </c>
      <c r="D158" s="62">
        <v>0.54375000000000007</v>
      </c>
      <c r="E158" s="61">
        <v>157</v>
      </c>
    </row>
    <row r="159" spans="1:5">
      <c r="A159" s="61" t="s">
        <v>245</v>
      </c>
      <c r="B159">
        <v>23032</v>
      </c>
      <c r="C159" t="s">
        <v>53</v>
      </c>
      <c r="D159" s="62">
        <v>0.78125</v>
      </c>
      <c r="E159" s="61">
        <v>158</v>
      </c>
    </row>
    <row r="160" spans="1:5">
      <c r="A160" s="63" t="s">
        <v>246</v>
      </c>
      <c r="B160" s="58">
        <v>23032</v>
      </c>
      <c r="C160" s="58" t="s">
        <v>53</v>
      </c>
      <c r="D160" s="64">
        <v>0.4604166666666667</v>
      </c>
      <c r="E160" s="61">
        <v>159</v>
      </c>
    </row>
    <row r="161" spans="1:5">
      <c r="A161" s="61" t="s">
        <v>100</v>
      </c>
      <c r="B161">
        <v>23376</v>
      </c>
      <c r="C161" t="s">
        <v>54</v>
      </c>
      <c r="D161" s="62">
        <v>0.57708333333333328</v>
      </c>
      <c r="E161" s="61">
        <v>160</v>
      </c>
    </row>
    <row r="162" spans="1:5">
      <c r="A162" s="61" t="s">
        <v>247</v>
      </c>
      <c r="B162">
        <v>23135</v>
      </c>
      <c r="C162" t="s">
        <v>49</v>
      </c>
      <c r="D162" s="62">
        <v>0.58958333333333335</v>
      </c>
      <c r="E162" s="61">
        <v>161</v>
      </c>
    </row>
    <row r="163" spans="1:5">
      <c r="A163" s="61" t="s">
        <v>106</v>
      </c>
      <c r="B163">
        <v>23135</v>
      </c>
      <c r="C163" t="s">
        <v>49</v>
      </c>
      <c r="D163" s="62">
        <v>0.5444444444444444</v>
      </c>
      <c r="E163" s="61">
        <v>162</v>
      </c>
    </row>
    <row r="164" spans="1:5">
      <c r="A164" s="61" t="s">
        <v>248</v>
      </c>
      <c r="B164">
        <v>21262</v>
      </c>
      <c r="C164" t="s">
        <v>50</v>
      </c>
      <c r="D164" s="62">
        <v>0.68680555555555556</v>
      </c>
      <c r="E164" s="61">
        <v>163</v>
      </c>
    </row>
    <row r="165" spans="1:5">
      <c r="A165" s="61" t="s">
        <v>249</v>
      </c>
      <c r="B165">
        <v>21262</v>
      </c>
      <c r="C165" t="s">
        <v>50</v>
      </c>
      <c r="D165" s="62">
        <v>0.68680555555555556</v>
      </c>
      <c r="E165" s="61">
        <v>164</v>
      </c>
    </row>
    <row r="166" spans="1:5">
      <c r="A166" s="63" t="s">
        <v>250</v>
      </c>
      <c r="B166" s="58">
        <v>23135</v>
      </c>
      <c r="C166" s="58" t="s">
        <v>49</v>
      </c>
      <c r="D166" s="64">
        <v>0.46388888888888885</v>
      </c>
      <c r="E166" s="61">
        <v>165</v>
      </c>
    </row>
    <row r="167" spans="1:5">
      <c r="A167" s="61" t="s">
        <v>102</v>
      </c>
      <c r="B167">
        <v>23032</v>
      </c>
      <c r="C167" t="s">
        <v>53</v>
      </c>
      <c r="D167" s="62">
        <v>0.50069444444444444</v>
      </c>
      <c r="E167" s="61">
        <v>166</v>
      </c>
    </row>
    <row r="168" spans="1:5">
      <c r="A168" s="61" t="s">
        <v>251</v>
      </c>
      <c r="B168">
        <v>23032</v>
      </c>
      <c r="C168" t="s">
        <v>53</v>
      </c>
      <c r="D168" s="62">
        <v>0.64374999999999993</v>
      </c>
      <c r="E168" s="61">
        <v>167</v>
      </c>
    </row>
    <row r="169" spans="1:5">
      <c r="A169" s="61" t="s">
        <v>252</v>
      </c>
      <c r="B169">
        <v>21262</v>
      </c>
      <c r="C169" t="s">
        <v>50</v>
      </c>
      <c r="D169" s="62">
        <v>0.72291666666666676</v>
      </c>
      <c r="E169" s="61">
        <v>168</v>
      </c>
    </row>
    <row r="170" spans="1:5">
      <c r="A170" s="61" t="s">
        <v>253</v>
      </c>
      <c r="B170">
        <v>21262</v>
      </c>
      <c r="C170" t="s">
        <v>50</v>
      </c>
      <c r="D170" s="62">
        <v>0.68611111111111101</v>
      </c>
      <c r="E170" s="61">
        <v>169</v>
      </c>
    </row>
    <row r="171" spans="1:5">
      <c r="A171" s="61" t="s">
        <v>254</v>
      </c>
      <c r="B171">
        <v>21262</v>
      </c>
      <c r="C171" t="s">
        <v>50</v>
      </c>
      <c r="D171" s="62">
        <v>0.68680555555555556</v>
      </c>
      <c r="E171" s="61">
        <v>170</v>
      </c>
    </row>
    <row r="172" spans="1:5">
      <c r="A172" s="63" t="s">
        <v>255</v>
      </c>
      <c r="B172" s="58">
        <v>21575</v>
      </c>
      <c r="C172" s="58" t="s">
        <v>48</v>
      </c>
      <c r="D172" s="64">
        <v>0.48402777777777778</v>
      </c>
      <c r="E172" s="61">
        <v>171</v>
      </c>
    </row>
    <row r="173" spans="1:5">
      <c r="A173" s="61" t="s">
        <v>256</v>
      </c>
      <c r="B173">
        <v>21575</v>
      </c>
      <c r="C173" t="s">
        <v>48</v>
      </c>
      <c r="D173" s="62">
        <v>0.59722222222222221</v>
      </c>
      <c r="E173" s="61">
        <v>172</v>
      </c>
    </row>
    <row r="174" spans="1:5">
      <c r="A174" s="61" t="s">
        <v>257</v>
      </c>
      <c r="B174">
        <v>21575</v>
      </c>
      <c r="C174" t="s">
        <v>48</v>
      </c>
      <c r="D174" s="62">
        <v>0.68263888888888891</v>
      </c>
      <c r="E174" s="61">
        <v>173</v>
      </c>
    </row>
    <row r="175" spans="1:5">
      <c r="A175" s="61" t="s">
        <v>258</v>
      </c>
      <c r="B175">
        <v>23253</v>
      </c>
      <c r="C175" t="s">
        <v>51</v>
      </c>
      <c r="D175" s="62">
        <v>0.71458333333333324</v>
      </c>
      <c r="E175" s="61">
        <v>174</v>
      </c>
    </row>
    <row r="176" spans="1:5">
      <c r="A176" s="61" t="s">
        <v>259</v>
      </c>
      <c r="B176">
        <v>23032</v>
      </c>
      <c r="C176" t="s">
        <v>53</v>
      </c>
      <c r="D176" s="62">
        <v>0.78055555555555556</v>
      </c>
      <c r="E176" s="61">
        <v>175</v>
      </c>
    </row>
    <row r="177" spans="1:5">
      <c r="A177" s="61" t="s">
        <v>260</v>
      </c>
      <c r="B177">
        <v>23253</v>
      </c>
      <c r="C177" t="s">
        <v>51</v>
      </c>
      <c r="D177" s="62">
        <v>0.54513888888888895</v>
      </c>
      <c r="E177" s="61">
        <v>176</v>
      </c>
    </row>
    <row r="178" spans="1:5">
      <c r="A178" s="61" t="s">
        <v>261</v>
      </c>
      <c r="B178">
        <v>23253</v>
      </c>
      <c r="C178" t="s">
        <v>51</v>
      </c>
      <c r="D178" s="62">
        <v>0.64374999999999993</v>
      </c>
      <c r="E178" s="61">
        <v>177</v>
      </c>
    </row>
    <row r="179" spans="1:5">
      <c r="A179" s="61" t="s">
        <v>262</v>
      </c>
      <c r="B179">
        <v>23376</v>
      </c>
      <c r="C179" t="s">
        <v>54</v>
      </c>
      <c r="D179" s="62">
        <v>0.81874999999999998</v>
      </c>
      <c r="E179" s="61">
        <v>178</v>
      </c>
    </row>
    <row r="180" spans="1:5">
      <c r="A180" s="61" t="s">
        <v>263</v>
      </c>
      <c r="B180">
        <v>21575</v>
      </c>
      <c r="C180" t="s">
        <v>48</v>
      </c>
      <c r="D180" s="62">
        <v>0.78611111111111109</v>
      </c>
      <c r="E180" s="61">
        <v>179</v>
      </c>
    </row>
    <row r="181" spans="1:5">
      <c r="A181" s="61" t="s">
        <v>264</v>
      </c>
      <c r="B181">
        <v>21262</v>
      </c>
      <c r="C181" t="s">
        <v>50</v>
      </c>
      <c r="D181" s="62">
        <v>0.68611111111111101</v>
      </c>
      <c r="E181" s="61">
        <v>180</v>
      </c>
    </row>
    <row r="182" spans="1:5">
      <c r="A182" s="61" t="s">
        <v>172</v>
      </c>
      <c r="B182">
        <v>23007</v>
      </c>
      <c r="C182" t="s">
        <v>75</v>
      </c>
      <c r="D182" s="62">
        <v>0.42083333333333334</v>
      </c>
      <c r="E182" s="61">
        <v>181</v>
      </c>
    </row>
    <row r="183" spans="1:5">
      <c r="A183" s="61" t="s">
        <v>207</v>
      </c>
      <c r="B183">
        <v>22949</v>
      </c>
      <c r="C183" t="s">
        <v>55</v>
      </c>
      <c r="D183" s="1">
        <v>0.4458333333333333</v>
      </c>
      <c r="E183" s="61">
        <v>182</v>
      </c>
    </row>
    <row r="184" spans="1:5">
      <c r="A184" s="75" t="s">
        <v>189</v>
      </c>
      <c r="B184">
        <v>23007</v>
      </c>
      <c r="C184" t="s">
        <v>75</v>
      </c>
      <c r="D184" s="1">
        <v>0.40416666666666662</v>
      </c>
      <c r="E184" s="61">
        <v>183</v>
      </c>
    </row>
    <row r="185" spans="1:5">
      <c r="A185" s="61" t="s">
        <v>221</v>
      </c>
      <c r="B185">
        <v>23007</v>
      </c>
      <c r="C185" t="s">
        <v>75</v>
      </c>
      <c r="D185" s="62">
        <v>0.42083333333333334</v>
      </c>
      <c r="E185" s="61">
        <v>184</v>
      </c>
    </row>
    <row r="186" spans="1:5">
      <c r="A186" s="61" t="s">
        <v>182</v>
      </c>
      <c r="B186">
        <v>21083</v>
      </c>
      <c r="C186" t="s">
        <v>31</v>
      </c>
      <c r="D186" s="1">
        <v>0.45902777777777781</v>
      </c>
      <c r="E186" s="61">
        <v>185</v>
      </c>
    </row>
    <row r="187" spans="1:5">
      <c r="A187" s="61" t="s">
        <v>211</v>
      </c>
      <c r="B187">
        <v>22949</v>
      </c>
      <c r="C187" t="s">
        <v>55</v>
      </c>
      <c r="D187" s="1">
        <v>0.4458333333333333</v>
      </c>
      <c r="E187" s="61">
        <v>186</v>
      </c>
    </row>
    <row r="188" spans="1:5">
      <c r="A188" s="61" t="s">
        <v>187</v>
      </c>
      <c r="B188">
        <v>23150</v>
      </c>
      <c r="C188" t="s">
        <v>35</v>
      </c>
      <c r="D188" s="1">
        <v>0.4777777777777778</v>
      </c>
      <c r="E188"/>
    </row>
    <row r="189" spans="1:5">
      <c r="A189" s="61" t="s">
        <v>181</v>
      </c>
      <c r="B189">
        <v>23153</v>
      </c>
      <c r="C189" t="s">
        <v>17</v>
      </c>
      <c r="D189" s="62">
        <v>0.48541666666666666</v>
      </c>
    </row>
  </sheetData>
  <autoFilter ref="A1:E193">
    <sortState ref="A2:E188">
      <sortCondition ref="A1:A193"/>
    </sortState>
  </autoFilter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>
    <tabColor rgb="FFFFFF00"/>
  </sheetPr>
  <dimension ref="A1:I197"/>
  <sheetViews>
    <sheetView zoomScale="85" zoomScaleNormal="85" workbookViewId="0">
      <selection activeCell="D105" sqref="D105"/>
    </sheetView>
  </sheetViews>
  <sheetFormatPr defaultRowHeight="15.75"/>
  <cols>
    <col min="1" max="1" width="14.75" style="75" customWidth="1"/>
    <col min="2" max="2" width="13.125" customWidth="1"/>
    <col min="3" max="3" width="22" customWidth="1"/>
    <col min="4" max="4" width="12.75" style="61" customWidth="1"/>
    <col min="6" max="6" width="17.75" customWidth="1"/>
    <col min="7" max="7" width="17.5" customWidth="1"/>
    <col min="8" max="8" width="10.875" customWidth="1"/>
    <col min="9" max="10" width="9.5" customWidth="1"/>
    <col min="11" max="11" width="9.25" customWidth="1"/>
    <col min="12" max="12" width="9.875" customWidth="1"/>
    <col min="13" max="14" width="10.125" customWidth="1"/>
    <col min="15" max="15" width="9.875" customWidth="1"/>
    <col min="16" max="16" width="9.25" customWidth="1"/>
    <col min="17" max="17" width="9.875" customWidth="1"/>
    <col min="18" max="19" width="10.125" customWidth="1"/>
    <col min="20" max="20" width="9.875" customWidth="1"/>
    <col min="21" max="21" width="9.25" customWidth="1"/>
    <col min="22" max="23" width="9.5" customWidth="1"/>
    <col min="24" max="24" width="9.25" customWidth="1"/>
    <col min="25" max="25" width="9.875" customWidth="1"/>
    <col min="26" max="27" width="10.125" customWidth="1"/>
    <col min="28" max="28" width="9.875" customWidth="1"/>
    <col min="29" max="29" width="9.25" customWidth="1"/>
    <col min="30" max="31" width="9.5" customWidth="1"/>
    <col min="32" max="32" width="9.25" customWidth="1"/>
    <col min="33" max="33" width="9.875" customWidth="1"/>
    <col min="34" max="35" width="10.125" customWidth="1"/>
    <col min="36" max="36" width="9.875" customWidth="1"/>
    <col min="37" max="37" width="9.25" customWidth="1"/>
    <col min="38" max="39" width="9.5" customWidth="1"/>
    <col min="40" max="40" width="9.25" customWidth="1"/>
    <col min="41" max="42" width="10" customWidth="1"/>
    <col min="43" max="43" width="9.875" customWidth="1"/>
    <col min="44" max="45" width="10.125" customWidth="1"/>
    <col min="46" max="46" width="9.875" customWidth="1"/>
    <col min="47" max="48" width="9.375" customWidth="1"/>
    <col min="49" max="49" width="9.25" customWidth="1"/>
    <col min="50" max="51" width="9.5" customWidth="1"/>
    <col min="52" max="52" width="9.25" customWidth="1"/>
    <col min="53" max="54" width="10" customWidth="1"/>
    <col min="55" max="55" width="9.875" customWidth="1"/>
    <col min="56" max="57" width="10.125" customWidth="1"/>
    <col min="58" max="58" width="9.875" customWidth="1"/>
    <col min="59" max="60" width="9.375" customWidth="1"/>
    <col min="61" max="61" width="9.25" customWidth="1"/>
    <col min="62" max="63" width="9.5" customWidth="1"/>
    <col min="64" max="64" width="9.25" customWidth="1"/>
    <col min="65" max="66" width="10" customWidth="1"/>
    <col min="67" max="67" width="9.875" customWidth="1"/>
    <col min="68" max="69" width="10.125" customWidth="1"/>
    <col min="70" max="70" width="9.875" customWidth="1"/>
    <col min="71" max="72" width="9.375" customWidth="1"/>
    <col min="73" max="73" width="9.25" customWidth="1"/>
    <col min="74" max="75" width="9.5" customWidth="1"/>
    <col min="76" max="76" width="9.25" customWidth="1"/>
    <col min="77" max="78" width="10" customWidth="1"/>
    <col min="79" max="79" width="9.875" customWidth="1"/>
    <col min="80" max="81" width="10.125" customWidth="1"/>
    <col min="82" max="82" width="9.875" customWidth="1"/>
    <col min="83" max="84" width="9.375" customWidth="1"/>
    <col min="85" max="85" width="9.25" customWidth="1"/>
    <col min="86" max="87" width="9.5" customWidth="1"/>
    <col min="88" max="88" width="9.25" customWidth="1"/>
    <col min="89" max="90" width="10" customWidth="1"/>
    <col min="91" max="92" width="9.875" customWidth="1"/>
    <col min="93" max="94" width="9.375" customWidth="1"/>
    <col min="95" max="95" width="9.25" customWidth="1"/>
    <col min="96" max="96" width="9.5" customWidth="1"/>
    <col min="97" max="98" width="10" customWidth="1"/>
    <col min="99" max="99" width="9.875" customWidth="1"/>
    <col min="100" max="101" width="10.125" customWidth="1"/>
    <col min="102" max="102" width="9.875" customWidth="1"/>
    <col min="103" max="104" width="9.375" customWidth="1"/>
    <col min="105" max="105" width="9.25" customWidth="1"/>
    <col min="106" max="107" width="9.5" customWidth="1"/>
    <col min="108" max="108" width="9.25" customWidth="1"/>
    <col min="109" max="110" width="10" customWidth="1"/>
    <col min="111" max="111" width="9.875" customWidth="1"/>
    <col min="112" max="113" width="10.125" customWidth="1"/>
    <col min="114" max="114" width="9.875" customWidth="1"/>
    <col min="115" max="116" width="9.375" customWidth="1"/>
    <col min="117" max="117" width="9.25" customWidth="1"/>
    <col min="118" max="119" width="9.5" customWidth="1"/>
    <col min="120" max="121" width="10" customWidth="1"/>
    <col min="122" max="122" width="9.875" customWidth="1"/>
    <col min="123" max="124" width="10.125" customWidth="1"/>
    <col min="125" max="125" width="9.875" customWidth="1"/>
    <col min="126" max="127" width="9.375" customWidth="1"/>
    <col min="128" max="129" width="9.5" customWidth="1"/>
    <col min="130" max="130" width="9.25" customWidth="1"/>
    <col min="131" max="131" width="9.875" customWidth="1"/>
    <col min="132" max="133" width="9.375" customWidth="1"/>
    <col min="134" max="134" width="9.25" customWidth="1"/>
    <col min="135" max="135" width="9.5" customWidth="1"/>
    <col min="136" max="137" width="9.875" customWidth="1"/>
    <col min="138" max="138" width="9.25" customWidth="1"/>
    <col min="139" max="139" width="9.5" customWidth="1"/>
    <col min="140" max="140" width="9.875" customWidth="1"/>
    <col min="141" max="141" width="10.125" customWidth="1"/>
    <col min="142" max="142" width="9.25" customWidth="1"/>
    <col min="143" max="143" width="9.5" customWidth="1"/>
    <col min="144" max="144" width="9.875" customWidth="1"/>
    <col min="145" max="146" width="10.125" customWidth="1"/>
    <col min="147" max="147" width="9.25" customWidth="1"/>
    <col min="148" max="149" width="10" customWidth="1"/>
    <col min="150" max="150" width="9.875" customWidth="1"/>
    <col min="151" max="151" width="10.125" customWidth="1"/>
    <col min="152" max="152" width="9.875" customWidth="1"/>
    <col min="153" max="153" width="10.125" customWidth="1"/>
    <col min="154" max="154" width="9.875" customWidth="1"/>
    <col min="155" max="155" width="9.25" customWidth="1"/>
    <col min="156" max="157" width="9.5" customWidth="1"/>
    <col min="158" max="158" width="9.25" customWidth="1"/>
    <col min="159" max="159" width="9.875" customWidth="1"/>
    <col min="160" max="161" width="10.125" customWidth="1"/>
    <col min="162" max="162" width="9.875" customWidth="1"/>
    <col min="163" max="163" width="10.125" customWidth="1"/>
    <col min="164" max="164" width="10" customWidth="1"/>
    <col min="165" max="165" width="10.125" customWidth="1"/>
    <col min="166" max="167" width="9.875" customWidth="1"/>
    <col min="168" max="169" width="10.125" customWidth="1"/>
    <col min="170" max="170" width="9.875" customWidth="1"/>
    <col min="171" max="171" width="10.125" customWidth="1"/>
    <col min="172" max="172" width="9.875" customWidth="1"/>
    <col min="173" max="173" width="9.25" customWidth="1"/>
    <col min="174" max="175" width="9.5" customWidth="1"/>
    <col min="176" max="176" width="9.25" customWidth="1"/>
    <col min="177" max="177" width="9.5" customWidth="1"/>
    <col min="178" max="178" width="9.25" customWidth="1"/>
    <col min="179" max="179" width="9.875" customWidth="1"/>
    <col min="180" max="181" width="10.125" customWidth="1"/>
    <col min="182" max="182" width="9.875" customWidth="1"/>
    <col min="183" max="183" width="10.125" customWidth="1"/>
    <col min="184" max="184" width="9.25" customWidth="1"/>
    <col min="185" max="186" width="9.5" customWidth="1"/>
    <col min="187" max="187" width="9.25" customWidth="1"/>
    <col min="188" max="188" width="9.5" customWidth="1"/>
    <col min="189" max="189" width="5.25" customWidth="1"/>
    <col min="190" max="190" width="6.625" customWidth="1"/>
    <col min="191" max="191" width="10.875" bestFit="1" customWidth="1"/>
  </cols>
  <sheetData>
    <row r="1" spans="1:9">
      <c r="A1" s="75" t="s">
        <v>111</v>
      </c>
      <c r="B1" s="74" t="s">
        <v>266</v>
      </c>
      <c r="C1" s="61" t="s">
        <v>270</v>
      </c>
      <c r="D1" s="73" t="s">
        <v>273</v>
      </c>
    </row>
    <row r="2" spans="1:9">
      <c r="A2" s="75" t="s">
        <v>265</v>
      </c>
      <c r="B2" t="str">
        <f>VLOOKUP(A:A,TimeOut!A:A,1,0)</f>
        <v>MISC</v>
      </c>
      <c r="C2" t="s">
        <v>274</v>
      </c>
      <c r="D2" s="61" t="e">
        <f>VLOOKUP(A:A,TimeIn!A:A,1,0)</f>
        <v>#N/A</v>
      </c>
    </row>
    <row r="3" spans="1:9" hidden="1">
      <c r="A3" s="75" t="s">
        <v>264</v>
      </c>
      <c r="B3" t="str">
        <f>VLOOKUP(A:A,TimeOut!A:A,1,0)</f>
        <v>70-ODD-N</v>
      </c>
      <c r="C3" t="s">
        <v>274</v>
      </c>
      <c r="D3" s="61" t="str">
        <f>VLOOKUP(A:A,TimeIn!A:A,1,0)</f>
        <v>70-ODD-N</v>
      </c>
    </row>
    <row r="4" spans="1:9" hidden="1">
      <c r="A4" s="75" t="s">
        <v>263</v>
      </c>
      <c r="B4" t="str">
        <f>VLOOKUP(A:A,TimeOut!A:A,1,0)</f>
        <v>70-ODD-K</v>
      </c>
      <c r="C4" t="s">
        <v>274</v>
      </c>
      <c r="D4" s="61" t="str">
        <f>VLOOKUP(A:A,TimeIn!A:A,1,0)</f>
        <v>70-ODD-K</v>
      </c>
    </row>
    <row r="5" spans="1:9" hidden="1">
      <c r="A5" s="75" t="s">
        <v>262</v>
      </c>
      <c r="B5" t="str">
        <f>VLOOKUP(A:A,TimeOut!A:A,1,0)</f>
        <v>70-ODD-G</v>
      </c>
      <c r="C5" t="s">
        <v>274</v>
      </c>
      <c r="D5" s="61" t="str">
        <f>VLOOKUP(A:A,TimeIn!A:A,1,0)</f>
        <v>70-ODD-G</v>
      </c>
      <c r="F5" s="68" t="s">
        <v>269</v>
      </c>
      <c r="G5" t="s">
        <v>286</v>
      </c>
    </row>
    <row r="6" spans="1:9" hidden="1">
      <c r="A6" s="75" t="s">
        <v>261</v>
      </c>
      <c r="B6" t="str">
        <f>VLOOKUP(A:A,TimeOut!A:A,1,0)</f>
        <v>70-ODD-D</v>
      </c>
      <c r="C6" t="s">
        <v>274</v>
      </c>
      <c r="D6" s="61" t="str">
        <f>VLOOKUP(A:A,TimeIn!A:A,1,0)</f>
        <v>70-ODD-D</v>
      </c>
      <c r="F6" s="69" t="s">
        <v>271</v>
      </c>
      <c r="G6" s="71">
        <v>46</v>
      </c>
    </row>
    <row r="7" spans="1:9" hidden="1">
      <c r="A7" s="75" t="s">
        <v>260</v>
      </c>
      <c r="B7" t="str">
        <f>VLOOKUP(A:A,TimeOut!A:A,1,0)</f>
        <v>70-ODD-C</v>
      </c>
      <c r="C7" t="s">
        <v>274</v>
      </c>
      <c r="D7" s="61" t="str">
        <f>VLOOKUP(A:A,TimeIn!A:A,1,0)</f>
        <v>70-ODD-C</v>
      </c>
      <c r="F7" s="69" t="s">
        <v>275</v>
      </c>
      <c r="G7" s="71">
        <v>48</v>
      </c>
    </row>
    <row r="8" spans="1:9" hidden="1">
      <c r="A8" s="75" t="s">
        <v>259</v>
      </c>
      <c r="B8" t="str">
        <f>VLOOKUP(A:A,TimeOut!A:A,1,0)</f>
        <v>70-EVEN-N</v>
      </c>
      <c r="C8" t="s">
        <v>274</v>
      </c>
      <c r="D8" s="61" t="str">
        <f>VLOOKUP(A:A,TimeIn!A:A,1,0)</f>
        <v>70-EVEN-N</v>
      </c>
      <c r="F8" s="69" t="s">
        <v>272</v>
      </c>
      <c r="G8" s="71">
        <v>45</v>
      </c>
    </row>
    <row r="9" spans="1:9" hidden="1">
      <c r="A9" s="75" t="s">
        <v>258</v>
      </c>
      <c r="B9" t="str">
        <f>VLOOKUP(A:A,TimeOut!A:A,1,0)</f>
        <v>70-EVEN-K</v>
      </c>
      <c r="C9" t="s">
        <v>274</v>
      </c>
      <c r="D9" s="61" t="str">
        <f>VLOOKUP(A:A,TimeIn!A:A,1,0)</f>
        <v>70-EVEN-K</v>
      </c>
      <c r="F9" s="69" t="s">
        <v>274</v>
      </c>
      <c r="G9" s="71">
        <v>50</v>
      </c>
    </row>
    <row r="10" spans="1:9" hidden="1">
      <c r="A10" s="75" t="s">
        <v>257</v>
      </c>
      <c r="B10" t="str">
        <f>VLOOKUP(A:A,TimeOut!A:A,1,0)</f>
        <v>70-EVEN-G</v>
      </c>
      <c r="C10" t="s">
        <v>274</v>
      </c>
      <c r="D10" s="61" t="str">
        <f>VLOOKUP(A:A,TimeIn!A:A,1,0)</f>
        <v>70-EVEN-G</v>
      </c>
      <c r="F10" s="69" t="s">
        <v>285</v>
      </c>
      <c r="G10" s="71"/>
    </row>
    <row r="11" spans="1:9" hidden="1">
      <c r="A11" s="75" t="s">
        <v>256</v>
      </c>
      <c r="B11" t="str">
        <f>VLOOKUP(A:A,TimeOut!A:A,1,0)</f>
        <v>70-EVEN-D</v>
      </c>
      <c r="C11" t="s">
        <v>274</v>
      </c>
      <c r="D11" s="61" t="str">
        <f>VLOOKUP(A:A,TimeIn!A:A,1,0)</f>
        <v>70-EVEN-D</v>
      </c>
      <c r="F11" s="69" t="s">
        <v>268</v>
      </c>
      <c r="G11" s="71">
        <v>189</v>
      </c>
    </row>
    <row r="12" spans="1:9" hidden="1">
      <c r="A12" s="75" t="s">
        <v>255</v>
      </c>
      <c r="B12" t="str">
        <f>VLOOKUP(A:A,TimeOut!A:A,1,0)</f>
        <v>70-EVEN-C</v>
      </c>
      <c r="C12" t="s">
        <v>274</v>
      </c>
      <c r="D12" s="61" t="str">
        <f>VLOOKUP(A:A,TimeIn!A:A,1,0)</f>
        <v>70-EVEN-C</v>
      </c>
    </row>
    <row r="13" spans="1:9" hidden="1">
      <c r="A13" s="75" t="s">
        <v>254</v>
      </c>
      <c r="B13" t="str">
        <f>VLOOKUP(A:A,TimeOut!A:A,1,0)</f>
        <v>69-ODD-X</v>
      </c>
      <c r="C13" t="s">
        <v>274</v>
      </c>
      <c r="D13" s="61" t="str">
        <f>VLOOKUP(A:A,TimeIn!A:A,1,0)</f>
        <v>69-ODD-X</v>
      </c>
    </row>
    <row r="14" spans="1:9" hidden="1">
      <c r="A14" s="75" t="s">
        <v>253</v>
      </c>
      <c r="B14" t="str">
        <f>VLOOKUP(A:A,TimeOut!A:A,1,0)</f>
        <v>69-ODD-N</v>
      </c>
      <c r="C14" t="s">
        <v>274</v>
      </c>
      <c r="D14" s="61" t="str">
        <f>VLOOKUP(A:A,TimeIn!A:A,1,0)</f>
        <v>69-ODD-N</v>
      </c>
    </row>
    <row r="15" spans="1:9" hidden="1">
      <c r="A15" s="75" t="s">
        <v>252</v>
      </c>
      <c r="B15" t="str">
        <f>VLOOKUP(A:A,TimeOut!A:A,1,0)</f>
        <v>69-ODD-K</v>
      </c>
      <c r="C15" t="s">
        <v>274</v>
      </c>
      <c r="D15" s="61" t="str">
        <f>VLOOKUP(A:A,TimeIn!A:A,1,0)</f>
        <v>69-ODD-K</v>
      </c>
    </row>
    <row r="16" spans="1:9" hidden="1">
      <c r="A16" s="75" t="s">
        <v>251</v>
      </c>
      <c r="B16" t="str">
        <f>VLOOKUP(A:A,TimeOut!A:A,1,0)</f>
        <v>69-ODD-G</v>
      </c>
      <c r="C16" t="s">
        <v>274</v>
      </c>
      <c r="D16" s="61" t="str">
        <f>VLOOKUP(A:A,TimeIn!A:A,1,0)</f>
        <v>69-ODD-G</v>
      </c>
      <c r="G16">
        <f>I16-H16</f>
        <v>46</v>
      </c>
      <c r="H16">
        <v>0</v>
      </c>
      <c r="I16" s="72">
        <v>46</v>
      </c>
    </row>
    <row r="17" spans="1:9" hidden="1">
      <c r="A17" s="75" t="s">
        <v>102</v>
      </c>
      <c r="B17" t="str">
        <f>VLOOKUP(A:A,TimeOut!A:A,1,0)</f>
        <v>69-ODD-D</v>
      </c>
      <c r="C17" t="s">
        <v>274</v>
      </c>
      <c r="D17" s="61" t="str">
        <f>VLOOKUP(A:A,TimeIn!A:A,1,0)</f>
        <v>69-ODD-D</v>
      </c>
      <c r="F17" s="70" t="s">
        <v>275</v>
      </c>
      <c r="G17">
        <f t="shared" ref="G17:G19" si="0">I17-H17</f>
        <v>44</v>
      </c>
      <c r="H17" s="72">
        <v>4</v>
      </c>
      <c r="I17" s="72">
        <v>48</v>
      </c>
    </row>
    <row r="18" spans="1:9" hidden="1">
      <c r="A18" s="75" t="s">
        <v>250</v>
      </c>
      <c r="B18" t="str">
        <f>VLOOKUP(A:A,TimeOut!A:A,1,0)</f>
        <v>69-ODD-C</v>
      </c>
      <c r="C18" t="s">
        <v>274</v>
      </c>
      <c r="D18" s="61" t="str">
        <f>VLOOKUP(A:A,TimeIn!A:A,1,0)</f>
        <v>69-ODD-C</v>
      </c>
      <c r="F18" s="70" t="s">
        <v>272</v>
      </c>
      <c r="G18">
        <f t="shared" si="0"/>
        <v>43</v>
      </c>
      <c r="H18" s="72">
        <v>2</v>
      </c>
      <c r="I18" s="72">
        <v>45</v>
      </c>
    </row>
    <row r="19" spans="1:9" hidden="1">
      <c r="A19" s="75" t="s">
        <v>249</v>
      </c>
      <c r="B19" t="str">
        <f>VLOOKUP(A:A,TimeOut!A:A,1,0)</f>
        <v>69-EVEN-X</v>
      </c>
      <c r="C19" t="s">
        <v>274</v>
      </c>
      <c r="D19" s="61" t="str">
        <f>VLOOKUP(A:A,TimeIn!A:A,1,0)</f>
        <v>69-EVEN-X</v>
      </c>
      <c r="F19" s="70" t="s">
        <v>274</v>
      </c>
      <c r="G19">
        <f t="shared" si="0"/>
        <v>49</v>
      </c>
      <c r="H19" s="72">
        <v>1</v>
      </c>
      <c r="I19" s="72">
        <v>50</v>
      </c>
    </row>
    <row r="20" spans="1:9" hidden="1">
      <c r="A20" s="75" t="s">
        <v>248</v>
      </c>
      <c r="B20" t="str">
        <f>VLOOKUP(A:A,TimeOut!A:A,1,0)</f>
        <v>69-EVEN-N</v>
      </c>
      <c r="C20" t="s">
        <v>274</v>
      </c>
      <c r="D20" s="61" t="str">
        <f>VLOOKUP(A:A,TimeIn!A:A,1,0)</f>
        <v>69-EVEN-N</v>
      </c>
    </row>
    <row r="21" spans="1:9" hidden="1">
      <c r="A21" s="75" t="s">
        <v>106</v>
      </c>
      <c r="B21" t="str">
        <f>VLOOKUP(A:A,TimeOut!A:A,1,0)</f>
        <v>69-EVEN-K</v>
      </c>
      <c r="C21" t="s">
        <v>274</v>
      </c>
      <c r="D21" s="61" t="str">
        <f>VLOOKUP(A:A,TimeIn!A:A,1,0)</f>
        <v>69-EVEN-K</v>
      </c>
    </row>
    <row r="22" spans="1:9" hidden="1">
      <c r="A22" s="75" t="s">
        <v>247</v>
      </c>
      <c r="B22" t="str">
        <f>VLOOKUP(A:A,TimeOut!A:A,1,0)</f>
        <v>69-EVEN-G</v>
      </c>
      <c r="C22" t="s">
        <v>274</v>
      </c>
      <c r="D22" s="61" t="str">
        <f>VLOOKUP(A:A,TimeIn!A:A,1,0)</f>
        <v>69-EVEN-G</v>
      </c>
    </row>
    <row r="23" spans="1:9" hidden="1">
      <c r="A23" s="75" t="s">
        <v>100</v>
      </c>
      <c r="B23" t="str">
        <f>VLOOKUP(A:A,TimeOut!A:A,1,0)</f>
        <v>69-EVEN-D</v>
      </c>
      <c r="C23" t="s">
        <v>274</v>
      </c>
      <c r="D23" s="61" t="str">
        <f>VLOOKUP(A:A,TimeIn!A:A,1,0)</f>
        <v>69-EVEN-D</v>
      </c>
    </row>
    <row r="24" spans="1:9" hidden="1">
      <c r="A24" s="75" t="s">
        <v>246</v>
      </c>
      <c r="B24" t="str">
        <f>VLOOKUP(A:A,TimeOut!A:A,1,0)</f>
        <v>69-EVEN-C</v>
      </c>
      <c r="C24" t="s">
        <v>274</v>
      </c>
      <c r="D24" s="61" t="str">
        <f>VLOOKUP(A:A,TimeIn!A:A,1,0)</f>
        <v>69-EVEN-C</v>
      </c>
    </row>
    <row r="25" spans="1:9" hidden="1">
      <c r="A25" s="75" t="s">
        <v>245</v>
      </c>
      <c r="B25" t="str">
        <f>VLOOKUP(A:A,TimeOut!A:A,1,0)</f>
        <v>68-EVEN-X</v>
      </c>
      <c r="C25" t="s">
        <v>274</v>
      </c>
      <c r="D25" s="61" t="str">
        <f>VLOOKUP(A:A,TimeIn!A:A,1,0)</f>
        <v>68-EVEN-X</v>
      </c>
    </row>
    <row r="26" spans="1:9" hidden="1">
      <c r="A26" s="75" t="s">
        <v>110</v>
      </c>
      <c r="B26" t="str">
        <f>VLOOKUP(A:A,TimeOut!A:A,1,0)</f>
        <v>68-EVEN-U</v>
      </c>
      <c r="C26" t="s">
        <v>274</v>
      </c>
      <c r="D26" s="61" t="str">
        <f>VLOOKUP(A:A,TimeIn!A:A,1,0)</f>
        <v>68-EVEN-U</v>
      </c>
    </row>
    <row r="27" spans="1:9" hidden="1">
      <c r="A27" s="75" t="s">
        <v>244</v>
      </c>
      <c r="B27" t="str">
        <f>VLOOKUP(A:A,TimeOut!A:A,1,0)</f>
        <v>68-EVEN-R</v>
      </c>
      <c r="C27" t="s">
        <v>274</v>
      </c>
      <c r="D27" s="61" t="str">
        <f>VLOOKUP(A:A,TimeIn!A:A,1,0)</f>
        <v>68-EVEN-R</v>
      </c>
    </row>
    <row r="28" spans="1:9" hidden="1">
      <c r="A28" s="75" t="s">
        <v>243</v>
      </c>
      <c r="B28" t="str">
        <f>VLOOKUP(A:A,TimeOut!A:A,1,0)</f>
        <v>68-EVEN-N</v>
      </c>
      <c r="C28" t="s">
        <v>274</v>
      </c>
      <c r="D28" s="61" t="str">
        <f>VLOOKUP(A:A,TimeIn!A:A,1,0)</f>
        <v>68-EVEN-N</v>
      </c>
    </row>
    <row r="29" spans="1:9" hidden="1">
      <c r="A29" s="75" t="s">
        <v>90</v>
      </c>
      <c r="B29" t="str">
        <f>VLOOKUP(A:A,TimeOut!A:A,1,0)</f>
        <v>68-EVEN-K</v>
      </c>
      <c r="C29" t="s">
        <v>274</v>
      </c>
      <c r="D29" s="61" t="str">
        <f>VLOOKUP(A:A,TimeIn!A:A,1,0)</f>
        <v>68-EVEN-K</v>
      </c>
    </row>
    <row r="30" spans="1:9" hidden="1">
      <c r="A30" s="75" t="s">
        <v>242</v>
      </c>
      <c r="B30" t="str">
        <f>VLOOKUP(A:A,TimeOut!A:A,1,0)</f>
        <v>68-EVEN-G</v>
      </c>
      <c r="C30" t="s">
        <v>274</v>
      </c>
      <c r="D30" s="61" t="str">
        <f>VLOOKUP(A:A,TimeIn!A:A,1,0)</f>
        <v>68-EVEN-G</v>
      </c>
    </row>
    <row r="31" spans="1:9" hidden="1">
      <c r="A31" s="75" t="s">
        <v>241</v>
      </c>
      <c r="B31" t="str">
        <f>VLOOKUP(A:A,TimeOut!A:A,1,0)</f>
        <v>68-EVEN-D</v>
      </c>
      <c r="C31" t="s">
        <v>274</v>
      </c>
      <c r="D31" s="61" t="str">
        <f>VLOOKUP(A:A,TimeIn!A:A,1,0)</f>
        <v>68-EVEN-D</v>
      </c>
    </row>
    <row r="32" spans="1:9" hidden="1">
      <c r="A32" s="75" t="s">
        <v>240</v>
      </c>
      <c r="B32" t="str">
        <f>VLOOKUP(A:A,TimeOut!A:A,1,0)</f>
        <v>68-EVEN-C</v>
      </c>
      <c r="C32" t="s">
        <v>274</v>
      </c>
      <c r="D32" s="61" t="str">
        <f>VLOOKUP(A:A,TimeIn!A:A,1,0)</f>
        <v>68-EVEN-C</v>
      </c>
    </row>
    <row r="33" spans="1:4" hidden="1">
      <c r="A33" s="75" t="s">
        <v>239</v>
      </c>
      <c r="B33" t="str">
        <f>VLOOKUP(A:A,TimeOut!A:A,1,0)</f>
        <v>40-ODD-K</v>
      </c>
      <c r="C33" t="s">
        <v>274</v>
      </c>
      <c r="D33" s="61" t="str">
        <f>VLOOKUP(A:A,TimeIn!A:A,1,0)</f>
        <v>40-ODD-K</v>
      </c>
    </row>
    <row r="34" spans="1:4" hidden="1">
      <c r="A34" s="75" t="s">
        <v>238</v>
      </c>
      <c r="B34" t="str">
        <f>VLOOKUP(A:A,TimeOut!A:A,1,0)</f>
        <v>40-ODD-G</v>
      </c>
      <c r="C34" t="s">
        <v>274</v>
      </c>
      <c r="D34" s="61" t="str">
        <f>VLOOKUP(A:A,TimeIn!A:A,1,0)</f>
        <v>40-ODD-G</v>
      </c>
    </row>
    <row r="35" spans="1:4" hidden="1">
      <c r="A35" s="75" t="s">
        <v>237</v>
      </c>
      <c r="B35" t="str">
        <f>VLOOKUP(A:A,TimeOut!A:A,1,0)</f>
        <v>40-ODD-D</v>
      </c>
      <c r="C35" t="s">
        <v>274</v>
      </c>
      <c r="D35" s="61" t="str">
        <f>VLOOKUP(A:A,TimeIn!A:A,1,0)</f>
        <v>40-ODD-D</v>
      </c>
    </row>
    <row r="36" spans="1:4" hidden="1">
      <c r="A36" s="75" t="s">
        <v>236</v>
      </c>
      <c r="B36" t="str">
        <f>VLOOKUP(A:A,TimeOut!A:A,1,0)</f>
        <v>40-ODD-C</v>
      </c>
      <c r="C36" t="s">
        <v>274</v>
      </c>
      <c r="D36" s="61" t="str">
        <f>VLOOKUP(A:A,TimeIn!A:A,1,0)</f>
        <v>40-ODD-C</v>
      </c>
    </row>
    <row r="37" spans="1:4" hidden="1">
      <c r="A37" s="75" t="s">
        <v>83</v>
      </c>
      <c r="B37" t="str">
        <f>VLOOKUP(A:A,TimeOut!A:A,1,0)</f>
        <v>40-EVEN-K</v>
      </c>
      <c r="C37" t="s">
        <v>274</v>
      </c>
      <c r="D37" s="61" t="str">
        <f>VLOOKUP(A:A,TimeIn!A:A,1,0)</f>
        <v>40-EVEN-K</v>
      </c>
    </row>
    <row r="38" spans="1:4" hidden="1">
      <c r="A38" s="75" t="s">
        <v>235</v>
      </c>
      <c r="B38" t="str">
        <f>VLOOKUP(A:A,TimeOut!A:A,1,0)</f>
        <v>40-EVEN-G</v>
      </c>
      <c r="C38" t="s">
        <v>274</v>
      </c>
      <c r="D38" s="61" t="str">
        <f>VLOOKUP(A:A,TimeIn!A:A,1,0)</f>
        <v>40-EVEN-G</v>
      </c>
    </row>
    <row r="39" spans="1:4" hidden="1">
      <c r="A39" s="75" t="s">
        <v>234</v>
      </c>
      <c r="B39" t="str">
        <f>VLOOKUP(A:A,TimeOut!A:A,1,0)</f>
        <v>40-EVEN-E</v>
      </c>
      <c r="C39" t="s">
        <v>274</v>
      </c>
      <c r="D39" s="61" t="str">
        <f>VLOOKUP(A:A,TimeIn!A:A,1,0)</f>
        <v>40-EVEN-E</v>
      </c>
    </row>
    <row r="40" spans="1:4" hidden="1">
      <c r="A40" s="75" t="s">
        <v>233</v>
      </c>
      <c r="B40" t="str">
        <f>VLOOKUP(A:A,TimeOut!A:A,1,0)</f>
        <v>40-EVEN-D</v>
      </c>
      <c r="C40" t="s">
        <v>274</v>
      </c>
      <c r="D40" s="61" t="str">
        <f>VLOOKUP(A:A,TimeIn!A:A,1,0)</f>
        <v>40-EVEN-D</v>
      </c>
    </row>
    <row r="41" spans="1:4" hidden="1">
      <c r="A41" s="75" t="s">
        <v>232</v>
      </c>
      <c r="B41" t="str">
        <f>VLOOKUP(A:A,TimeOut!A:A,1,0)</f>
        <v>40-EVEN-C</v>
      </c>
      <c r="C41" t="s">
        <v>274</v>
      </c>
      <c r="D41" s="61" t="str">
        <f>VLOOKUP(A:A,TimeIn!A:A,1,0)</f>
        <v>40-EVEN-C</v>
      </c>
    </row>
    <row r="42" spans="1:4" hidden="1">
      <c r="A42" s="75" t="s">
        <v>231</v>
      </c>
      <c r="B42" t="str">
        <f>VLOOKUP(A:A,TimeOut!A:A,1,0)</f>
        <v>40-EVEN-B</v>
      </c>
      <c r="C42" t="s">
        <v>274</v>
      </c>
      <c r="D42" s="61" t="str">
        <f>VLOOKUP(A:A,TimeIn!A:A,1,0)</f>
        <v>40-EVEN-B</v>
      </c>
    </row>
    <row r="43" spans="1:4" hidden="1">
      <c r="A43" s="75" t="s">
        <v>230</v>
      </c>
      <c r="B43" t="str">
        <f>VLOOKUP(A:A,TimeOut!A:A,1,0)</f>
        <v>40-EVEN-A</v>
      </c>
      <c r="C43" t="s">
        <v>274</v>
      </c>
      <c r="D43" s="61" t="str">
        <f>VLOOKUP(A:A,TimeIn!A:A,1,0)</f>
        <v>40-EVEN-A</v>
      </c>
    </row>
    <row r="44" spans="1:4" hidden="1">
      <c r="A44" s="75" t="s">
        <v>229</v>
      </c>
      <c r="B44" t="str">
        <f>VLOOKUP(A:A,TimeOut!A:A,1,0)</f>
        <v>39-ODD-C</v>
      </c>
      <c r="C44" t="s">
        <v>274</v>
      </c>
      <c r="D44" s="61" t="str">
        <f>VLOOKUP(A:A,TimeIn!A:A,1,0)</f>
        <v>39-ODD-C</v>
      </c>
    </row>
    <row r="45" spans="1:4" hidden="1">
      <c r="A45" s="75" t="s">
        <v>228</v>
      </c>
      <c r="B45" t="str">
        <f>VLOOKUP(A:A,TimeOut!A:A,1,0)</f>
        <v>39-EVEN-G</v>
      </c>
      <c r="C45" t="s">
        <v>274</v>
      </c>
      <c r="D45" s="61" t="str">
        <f>VLOOKUP(A:A,TimeIn!A:A,1,0)</f>
        <v>39-EVEN-G</v>
      </c>
    </row>
    <row r="46" spans="1:4" hidden="1">
      <c r="A46" s="75" t="s">
        <v>227</v>
      </c>
      <c r="B46" t="str">
        <f>VLOOKUP(A:A,TimeOut!A:A,1,0)</f>
        <v>39-EVEN-D</v>
      </c>
      <c r="C46" t="s">
        <v>274</v>
      </c>
      <c r="D46" s="61" t="str">
        <f>VLOOKUP(A:A,TimeIn!A:A,1,0)</f>
        <v>39-EVEN-D</v>
      </c>
    </row>
    <row r="47" spans="1:4" hidden="1">
      <c r="A47" s="75" t="s">
        <v>226</v>
      </c>
      <c r="B47" t="str">
        <f>VLOOKUP(A:A,TimeOut!A:A,1,0)</f>
        <v>39-EVEN-C</v>
      </c>
      <c r="C47" t="s">
        <v>274</v>
      </c>
      <c r="D47" s="61" t="str">
        <f>VLOOKUP(A:A,TimeIn!A:A,1,0)</f>
        <v>39-EVEN-C</v>
      </c>
    </row>
    <row r="48" spans="1:4" hidden="1">
      <c r="A48" s="75" t="s">
        <v>225</v>
      </c>
      <c r="B48" t="str">
        <f>VLOOKUP(A:A,TimeOut!A:A,1,0)</f>
        <v>36-ODD-G</v>
      </c>
      <c r="C48" t="s">
        <v>274</v>
      </c>
      <c r="D48" s="61" t="str">
        <f>VLOOKUP(A:A,TimeIn!A:A,1,0)</f>
        <v>36-ODD-G</v>
      </c>
    </row>
    <row r="49" spans="1:4" hidden="1">
      <c r="A49" s="75" t="s">
        <v>224</v>
      </c>
      <c r="B49" t="str">
        <f>VLOOKUP(A:A,TimeOut!A:A,1,0)</f>
        <v>36-ODD-C</v>
      </c>
      <c r="C49" t="s">
        <v>274</v>
      </c>
      <c r="D49" s="61" t="str">
        <f>VLOOKUP(A:A,TimeIn!A:A,1,0)</f>
        <v>36-ODD-C</v>
      </c>
    </row>
    <row r="50" spans="1:4" hidden="1">
      <c r="A50" s="75" t="s">
        <v>223</v>
      </c>
      <c r="B50" t="str">
        <f>VLOOKUP(A:A,TimeOut!A:A,1,0)</f>
        <v>36-EVEN-D</v>
      </c>
      <c r="C50" t="s">
        <v>274</v>
      </c>
      <c r="D50" s="61" t="str">
        <f>VLOOKUP(A:A,TimeIn!A:A,1,0)</f>
        <v>36-EVEN-D</v>
      </c>
    </row>
    <row r="51" spans="1:4" hidden="1">
      <c r="A51" s="75" t="s">
        <v>222</v>
      </c>
      <c r="B51" t="str">
        <f>VLOOKUP(A:A,TimeOut!A:A,1,0)</f>
        <v>36-EVEN-C</v>
      </c>
      <c r="C51" t="s">
        <v>274</v>
      </c>
      <c r="D51" s="61" t="str">
        <f>VLOOKUP(A:A,TimeIn!A:A,1,0)</f>
        <v>36-EVEN-C</v>
      </c>
    </row>
    <row r="52" spans="1:4" hidden="1">
      <c r="A52" s="75" t="s">
        <v>221</v>
      </c>
      <c r="B52" t="str">
        <f>VLOOKUP(A:A,TimeOut!A:A,1,0)</f>
        <v>35-ODD-G</v>
      </c>
      <c r="C52" t="s">
        <v>272</v>
      </c>
      <c r="D52" s="61" t="str">
        <f>VLOOKUP(A:A,TimeIn!A:A,1,0)</f>
        <v>35-ODD-G</v>
      </c>
    </row>
    <row r="53" spans="1:4" hidden="1">
      <c r="A53" s="75" t="s">
        <v>220</v>
      </c>
      <c r="B53" t="str">
        <f>VLOOKUP(A:A,TimeOut!A:A,1,0)</f>
        <v>35-ODD-D</v>
      </c>
      <c r="C53" t="s">
        <v>272</v>
      </c>
      <c r="D53" s="61" t="str">
        <f>VLOOKUP(A:A,TimeIn!A:A,1,0)</f>
        <v>35-ODD-D</v>
      </c>
    </row>
    <row r="54" spans="1:4" hidden="1">
      <c r="A54" s="75" t="s">
        <v>77</v>
      </c>
      <c r="B54" t="str">
        <f>VLOOKUP(A:A,TimeOut!A:A,1,0)</f>
        <v>35-ODD-C</v>
      </c>
      <c r="C54" t="s">
        <v>272</v>
      </c>
      <c r="D54" s="61" t="str">
        <f>VLOOKUP(A:A,TimeIn!A:A,1,0)</f>
        <v>35-ODD-C</v>
      </c>
    </row>
    <row r="55" spans="1:4" hidden="1">
      <c r="A55" s="75" t="s">
        <v>219</v>
      </c>
      <c r="B55" t="str">
        <f>VLOOKUP(A:A,TimeOut!A:A,1,0)</f>
        <v>35-EVEN-K</v>
      </c>
      <c r="C55" t="s">
        <v>272</v>
      </c>
      <c r="D55" s="61" t="str">
        <f>VLOOKUP(A:A,TimeIn!A:A,1,0)</f>
        <v>35-EVEN-K</v>
      </c>
    </row>
    <row r="56" spans="1:4" hidden="1">
      <c r="A56" s="75" t="s">
        <v>218</v>
      </c>
      <c r="B56" t="str">
        <f>VLOOKUP(A:A,TimeOut!A:A,1,0)</f>
        <v>35-EVEN-C</v>
      </c>
      <c r="C56" t="s">
        <v>272</v>
      </c>
      <c r="D56" s="61" t="str">
        <f>VLOOKUP(A:A,TimeIn!A:A,1,0)</f>
        <v>35-EVEN-C</v>
      </c>
    </row>
    <row r="57" spans="1:4" hidden="1">
      <c r="A57" s="75" t="s">
        <v>217</v>
      </c>
      <c r="B57" t="str">
        <f>VLOOKUP(A:A,TimeOut!A:A,1,0)</f>
        <v>34-ODD-D</v>
      </c>
      <c r="C57" t="s">
        <v>272</v>
      </c>
      <c r="D57" s="61" t="str">
        <f>VLOOKUP(A:A,TimeIn!A:A,1,0)</f>
        <v>34-ODD-D</v>
      </c>
    </row>
    <row r="58" spans="1:4" hidden="1">
      <c r="A58" s="75" t="s">
        <v>97</v>
      </c>
      <c r="B58" t="str">
        <f>VLOOKUP(A:A,TimeOut!A:A,1,0)</f>
        <v>34-ODD-C</v>
      </c>
      <c r="C58" t="s">
        <v>272</v>
      </c>
      <c r="D58" s="61" t="str">
        <f>VLOOKUP(A:A,TimeIn!A:A,1,0)</f>
        <v>34-ODD-C</v>
      </c>
    </row>
    <row r="59" spans="1:4" hidden="1">
      <c r="A59" s="75" t="s">
        <v>84</v>
      </c>
      <c r="B59" t="str">
        <f>VLOOKUP(A:A,TimeOut!A:A,1,0)</f>
        <v>34-ODD-B</v>
      </c>
      <c r="C59" t="s">
        <v>272</v>
      </c>
      <c r="D59" s="61" t="str">
        <f>VLOOKUP(A:A,TimeIn!A:A,1,0)</f>
        <v>34-ODD-B</v>
      </c>
    </row>
    <row r="60" spans="1:4" hidden="1">
      <c r="A60" s="75" t="s">
        <v>216</v>
      </c>
      <c r="B60" t="str">
        <f>VLOOKUP(A:A,TimeOut!A:A,1,0)</f>
        <v>34-ODD-A</v>
      </c>
      <c r="C60" t="s">
        <v>272</v>
      </c>
      <c r="D60" s="61" t="str">
        <f>VLOOKUP(A:A,TimeIn!A:A,1,0)</f>
        <v>34-ODD-A</v>
      </c>
    </row>
    <row r="61" spans="1:4" hidden="1">
      <c r="A61" s="75" t="s">
        <v>215</v>
      </c>
      <c r="B61" t="str">
        <f>VLOOKUP(A:A,TimeOut!A:A,1,0)</f>
        <v>34-EVEN-K</v>
      </c>
      <c r="C61" t="s">
        <v>272</v>
      </c>
      <c r="D61" s="61" t="str">
        <f>VLOOKUP(A:A,TimeIn!A:A,1,0)</f>
        <v>34-EVEN-K</v>
      </c>
    </row>
    <row r="62" spans="1:4" hidden="1">
      <c r="A62" s="75" t="s">
        <v>214</v>
      </c>
      <c r="B62" t="str">
        <f>VLOOKUP(A:A,TimeOut!A:A,1,0)</f>
        <v>33-ODD-K</v>
      </c>
      <c r="C62" t="s">
        <v>272</v>
      </c>
      <c r="D62" s="61" t="str">
        <f>VLOOKUP(A:A,TimeIn!A:A,1,0)</f>
        <v>33-ODD-K</v>
      </c>
    </row>
    <row r="63" spans="1:4" hidden="1">
      <c r="A63" s="75" t="s">
        <v>213</v>
      </c>
      <c r="B63" t="str">
        <f>VLOOKUP(A:A,TimeOut!A:A,1,0)</f>
        <v>33-ODD-G</v>
      </c>
      <c r="C63" t="s">
        <v>272</v>
      </c>
      <c r="D63" s="61" t="str">
        <f>VLOOKUP(A:A,TimeIn!A:A,1,0)</f>
        <v>33-ODD-G</v>
      </c>
    </row>
    <row r="64" spans="1:4" hidden="1">
      <c r="A64" s="75" t="s">
        <v>212</v>
      </c>
      <c r="B64" t="str">
        <f>VLOOKUP(A:A,TimeOut!A:A,1,0)</f>
        <v>33-ODD-D</v>
      </c>
      <c r="C64" t="s">
        <v>272</v>
      </c>
      <c r="D64" s="61" t="str">
        <f>VLOOKUP(A:A,TimeIn!A:A,1,0)</f>
        <v>33-ODD-D</v>
      </c>
    </row>
    <row r="65" spans="1:4" hidden="1">
      <c r="A65" s="75" t="s">
        <v>211</v>
      </c>
      <c r="B65" t="str">
        <f>VLOOKUP(A:A,TimeOut!A:A,1,0)</f>
        <v>33-ODD-C</v>
      </c>
      <c r="C65" t="s">
        <v>272</v>
      </c>
      <c r="D65" s="61" t="str">
        <f>VLOOKUP(A:A,TimeIn!A:A,1,0)</f>
        <v>33-ODD-C</v>
      </c>
    </row>
    <row r="66" spans="1:4" hidden="1">
      <c r="A66" s="75" t="s">
        <v>210</v>
      </c>
      <c r="B66" t="str">
        <f>VLOOKUP(A:A,TimeOut!A:A,1,0)</f>
        <v>33-ODD-B</v>
      </c>
      <c r="C66" t="s">
        <v>272</v>
      </c>
      <c r="D66" s="61" t="str">
        <f>VLOOKUP(A:A,TimeIn!A:A,1,0)</f>
        <v>33-ODD-B</v>
      </c>
    </row>
    <row r="67" spans="1:4" hidden="1">
      <c r="A67" s="75" t="s">
        <v>209</v>
      </c>
      <c r="B67" t="str">
        <f>VLOOKUP(A:A,TimeOut!A:A,1,0)</f>
        <v>33-ODD-A</v>
      </c>
      <c r="C67" t="s">
        <v>272</v>
      </c>
      <c r="D67" s="61" t="str">
        <f>VLOOKUP(A:A,TimeIn!A:A,1,0)</f>
        <v>33-ODD-A</v>
      </c>
    </row>
    <row r="68" spans="1:4" hidden="1">
      <c r="A68" s="75" t="s">
        <v>208</v>
      </c>
      <c r="B68" t="str">
        <f>VLOOKUP(A:A,TimeOut!A:A,1,0)</f>
        <v>33-EVEN-K</v>
      </c>
      <c r="C68" t="s">
        <v>272</v>
      </c>
      <c r="D68" s="61" t="str">
        <f>VLOOKUP(A:A,TimeIn!A:A,1,0)</f>
        <v>33-EVEN-K</v>
      </c>
    </row>
    <row r="69" spans="1:4" hidden="1">
      <c r="A69" s="75" t="s">
        <v>207</v>
      </c>
      <c r="B69" t="str">
        <f>VLOOKUP(A:A,TimeOut!A:A,1,0)</f>
        <v>33-EVEN-G</v>
      </c>
      <c r="C69" t="s">
        <v>272</v>
      </c>
      <c r="D69" s="61" t="str">
        <f>VLOOKUP(A:A,TimeIn!A:A,1,0)</f>
        <v>33-EVEN-G</v>
      </c>
    </row>
    <row r="70" spans="1:4" hidden="1">
      <c r="A70" s="75" t="s">
        <v>206</v>
      </c>
      <c r="B70" t="str">
        <f>VLOOKUP(A:A,TimeOut!A:A,1,0)</f>
        <v>33-EVEN-D</v>
      </c>
      <c r="C70" t="s">
        <v>272</v>
      </c>
      <c r="D70" s="61" t="str">
        <f>VLOOKUP(A:A,TimeIn!A:A,1,0)</f>
        <v>33-EVEN-D</v>
      </c>
    </row>
    <row r="71" spans="1:4" hidden="1">
      <c r="A71" s="75" t="s">
        <v>103</v>
      </c>
      <c r="B71" t="str">
        <f>VLOOKUP(A:A,TimeOut!A:A,1,0)</f>
        <v>33-EVEN-C</v>
      </c>
      <c r="C71" t="s">
        <v>272</v>
      </c>
      <c r="D71" s="61" t="str">
        <f>VLOOKUP(A:A,TimeIn!A:A,1,0)</f>
        <v>33-EVEN-C</v>
      </c>
    </row>
    <row r="72" spans="1:4" hidden="1">
      <c r="A72" s="75" t="s">
        <v>87</v>
      </c>
      <c r="B72" t="str">
        <f>VLOOKUP(A:A,TimeOut!A:A,1,0)</f>
        <v>33-EVEN-B</v>
      </c>
      <c r="C72" t="s">
        <v>272</v>
      </c>
      <c r="D72" s="61" t="str">
        <f>VLOOKUP(A:A,TimeIn!A:A,1,0)</f>
        <v>33-EVEN-B</v>
      </c>
    </row>
    <row r="73" spans="1:4" hidden="1">
      <c r="A73" s="75" t="s">
        <v>205</v>
      </c>
      <c r="B73" t="str">
        <f>VLOOKUP(A:A,TimeOut!A:A,1,0)</f>
        <v>33-EVEN-A</v>
      </c>
      <c r="C73" t="s">
        <v>272</v>
      </c>
      <c r="D73" s="61" t="str">
        <f>VLOOKUP(A:A,TimeIn!A:A,1,0)</f>
        <v>33-EVEN-A</v>
      </c>
    </row>
    <row r="74" spans="1:4" hidden="1">
      <c r="A74" s="75" t="s">
        <v>204</v>
      </c>
      <c r="B74" t="str">
        <f>VLOOKUP(A:A,TimeOut!A:A,1,0)</f>
        <v>32-ODD-G</v>
      </c>
      <c r="C74" t="s">
        <v>272</v>
      </c>
      <c r="D74" s="61" t="str">
        <f>VLOOKUP(A:A,TimeIn!A:A,1,0)</f>
        <v>32-ODD-G</v>
      </c>
    </row>
    <row r="75" spans="1:4" hidden="1">
      <c r="A75" s="75" t="s">
        <v>203</v>
      </c>
      <c r="B75" t="str">
        <f>VLOOKUP(A:A,TimeOut!A:A,1,0)</f>
        <v>32-ODD-D</v>
      </c>
      <c r="C75" t="s">
        <v>272</v>
      </c>
      <c r="D75" s="61" t="str">
        <f>VLOOKUP(A:A,TimeIn!A:A,1,0)</f>
        <v>32-ODD-D</v>
      </c>
    </row>
    <row r="76" spans="1:4" hidden="1">
      <c r="A76" s="75" t="s">
        <v>105</v>
      </c>
      <c r="B76" t="str">
        <f>VLOOKUP(A:A,TimeOut!A:A,1,0)</f>
        <v>32-ODD-C</v>
      </c>
      <c r="C76" t="s">
        <v>272</v>
      </c>
      <c r="D76" s="61" t="str">
        <f>VLOOKUP(A:A,TimeIn!A:A,1,0)</f>
        <v>32-ODD-C</v>
      </c>
    </row>
    <row r="77" spans="1:4" hidden="1">
      <c r="A77" s="75" t="s">
        <v>88</v>
      </c>
      <c r="B77" t="str">
        <f>VLOOKUP(A:A,TimeOut!A:A,1,0)</f>
        <v>32-ODD-B</v>
      </c>
      <c r="C77" t="s">
        <v>272</v>
      </c>
      <c r="D77" s="61" t="str">
        <f>VLOOKUP(A:A,TimeIn!A:A,1,0)</f>
        <v>32-ODD-B</v>
      </c>
    </row>
    <row r="78" spans="1:4" hidden="1">
      <c r="A78" s="75" t="s">
        <v>202</v>
      </c>
      <c r="B78" t="str">
        <f>VLOOKUP(A:A,TimeOut!A:A,1,0)</f>
        <v>32-ODD-A</v>
      </c>
      <c r="C78" t="s">
        <v>272</v>
      </c>
      <c r="D78" s="61" t="str">
        <f>VLOOKUP(A:A,TimeIn!A:A,1,0)</f>
        <v>32-ODD-A</v>
      </c>
    </row>
    <row r="79" spans="1:4" hidden="1">
      <c r="A79" s="75" t="s">
        <v>201</v>
      </c>
      <c r="B79" t="str">
        <f>VLOOKUP(A:A,TimeOut!A:A,1,0)</f>
        <v>32-EVEN-K</v>
      </c>
      <c r="C79" t="s">
        <v>272</v>
      </c>
      <c r="D79" s="61" t="str">
        <f>VLOOKUP(A:A,TimeIn!A:A,1,0)</f>
        <v>32-EVEN-K</v>
      </c>
    </row>
    <row r="80" spans="1:4" hidden="1">
      <c r="A80" s="75" t="s">
        <v>200</v>
      </c>
      <c r="B80" t="str">
        <f>VLOOKUP(A:A,TimeOut!A:A,1,0)</f>
        <v>32-EVEN-G</v>
      </c>
      <c r="C80" t="s">
        <v>272</v>
      </c>
      <c r="D80" s="61" t="str">
        <f>VLOOKUP(A:A,TimeIn!A:A,1,0)</f>
        <v>32-EVEN-G</v>
      </c>
    </row>
    <row r="81" spans="1:4" hidden="1">
      <c r="A81" s="75" t="s">
        <v>199</v>
      </c>
      <c r="B81" t="str">
        <f>VLOOKUP(A:A,TimeOut!A:A,1,0)</f>
        <v>32-EVEN-D</v>
      </c>
      <c r="C81" t="s">
        <v>272</v>
      </c>
      <c r="D81" s="61" t="str">
        <f>VLOOKUP(A:A,TimeIn!A:A,1,0)</f>
        <v>32-EVEN-D</v>
      </c>
    </row>
    <row r="82" spans="1:4" hidden="1">
      <c r="A82" s="75" t="s">
        <v>104</v>
      </c>
      <c r="B82" t="str">
        <f>VLOOKUP(A:A,TimeOut!A:A,1,0)</f>
        <v>32-EVEN-C</v>
      </c>
      <c r="C82" t="s">
        <v>272</v>
      </c>
      <c r="D82" s="61" t="str">
        <f>VLOOKUP(A:A,TimeIn!A:A,1,0)</f>
        <v>32-EVEN-C</v>
      </c>
    </row>
    <row r="83" spans="1:4" hidden="1">
      <c r="A83" s="75" t="s">
        <v>89</v>
      </c>
      <c r="B83" t="str">
        <f>VLOOKUP(A:A,TimeOut!A:A,1,0)</f>
        <v>32-EVEN-B</v>
      </c>
      <c r="C83" t="s">
        <v>272</v>
      </c>
      <c r="D83" s="61" t="str">
        <f>VLOOKUP(A:A,TimeIn!A:A,1,0)</f>
        <v>32-EVEN-B</v>
      </c>
    </row>
    <row r="84" spans="1:4" hidden="1">
      <c r="A84" s="75" t="s">
        <v>198</v>
      </c>
      <c r="B84" t="str">
        <f>VLOOKUP(A:A,TimeOut!A:A,1,0)</f>
        <v>32-EVEN-A</v>
      </c>
      <c r="C84" t="s">
        <v>272</v>
      </c>
      <c r="D84" s="61" t="str">
        <f>VLOOKUP(A:A,TimeIn!A:A,1,0)</f>
        <v>32-EVEN-A</v>
      </c>
    </row>
    <row r="85" spans="1:4" hidden="1">
      <c r="A85" s="75" t="s">
        <v>197</v>
      </c>
      <c r="B85" t="str">
        <f>VLOOKUP(A:A,TimeOut!A:A,1,0)</f>
        <v>31-ODD-K</v>
      </c>
      <c r="C85" t="s">
        <v>272</v>
      </c>
      <c r="D85" s="61" t="str">
        <f>VLOOKUP(A:A,TimeIn!A:A,1,0)</f>
        <v>31-ODD-K</v>
      </c>
    </row>
    <row r="86" spans="1:4" hidden="1">
      <c r="A86" s="75" t="s">
        <v>96</v>
      </c>
      <c r="B86" t="str">
        <f>VLOOKUP(A:A,TimeOut!A:A,1,0)</f>
        <v>31-ODD-G</v>
      </c>
      <c r="C86" t="s">
        <v>272</v>
      </c>
      <c r="D86" s="61" t="str">
        <f>VLOOKUP(A:A,TimeIn!A:A,1,0)</f>
        <v>31-ODD-G</v>
      </c>
    </row>
    <row r="87" spans="1:4" hidden="1">
      <c r="A87" s="75" t="s">
        <v>95</v>
      </c>
      <c r="B87" t="str">
        <f>VLOOKUP(A:A,TimeOut!A:A,1,0)</f>
        <v>31-ODD-D</v>
      </c>
      <c r="C87" t="s">
        <v>272</v>
      </c>
      <c r="D87" s="61" t="str">
        <f>VLOOKUP(A:A,TimeIn!A:A,1,0)</f>
        <v>31-ODD-D</v>
      </c>
    </row>
    <row r="88" spans="1:4" hidden="1">
      <c r="A88" s="75" t="s">
        <v>196</v>
      </c>
      <c r="B88" t="str">
        <f>VLOOKUP(A:A,TimeOut!A:A,1,0)</f>
        <v>31-ODD-C</v>
      </c>
      <c r="C88" t="s">
        <v>272</v>
      </c>
      <c r="D88" s="61" t="str">
        <f>VLOOKUP(A:A,TimeIn!A:A,1,0)</f>
        <v>31-ODD-C</v>
      </c>
    </row>
    <row r="89" spans="1:4" hidden="1">
      <c r="A89" s="75" t="s">
        <v>86</v>
      </c>
      <c r="B89" t="str">
        <f>VLOOKUP(A:A,TimeOut!A:A,1,0)</f>
        <v>31-ODD-B</v>
      </c>
      <c r="C89" t="s">
        <v>272</v>
      </c>
      <c r="D89" s="61" t="str">
        <f>VLOOKUP(A:A,TimeIn!A:A,1,0)</f>
        <v>31-ODD-B</v>
      </c>
    </row>
    <row r="90" spans="1:4" hidden="1">
      <c r="A90" s="75" t="s">
        <v>195</v>
      </c>
      <c r="B90" t="str">
        <f>VLOOKUP(A:A,TimeOut!A:A,1,0)</f>
        <v>31-ODD-A</v>
      </c>
      <c r="C90" t="s">
        <v>272</v>
      </c>
      <c r="D90" s="61" t="str">
        <f>VLOOKUP(A:A,TimeIn!A:A,1,0)</f>
        <v>31-ODD-A</v>
      </c>
    </row>
    <row r="91" spans="1:4" hidden="1">
      <c r="A91" s="75" t="s">
        <v>194</v>
      </c>
      <c r="B91" t="str">
        <f>VLOOKUP(A:A,TimeOut!A:A,1,0)</f>
        <v>31-EVEN-K</v>
      </c>
      <c r="C91" t="s">
        <v>272</v>
      </c>
      <c r="D91" s="61" t="str">
        <f>VLOOKUP(A:A,TimeIn!A:A,1,0)</f>
        <v>31-EVEN-K</v>
      </c>
    </row>
    <row r="92" spans="1:4" hidden="1">
      <c r="A92" s="75" t="s">
        <v>193</v>
      </c>
      <c r="B92" t="str">
        <f>VLOOKUP(A:A,TimeOut!A:A,1,0)</f>
        <v>31-EVEN-G</v>
      </c>
      <c r="C92" t="s">
        <v>272</v>
      </c>
      <c r="D92" s="61" t="str">
        <f>VLOOKUP(A:A,TimeIn!A:A,1,0)</f>
        <v>31-EVEN-G</v>
      </c>
    </row>
    <row r="93" spans="1:4" hidden="1">
      <c r="A93" s="75" t="s">
        <v>192</v>
      </c>
      <c r="B93" t="str">
        <f>VLOOKUP(A:A,TimeOut!A:A,1,0)</f>
        <v>31-EVEN-D</v>
      </c>
      <c r="C93" t="s">
        <v>272</v>
      </c>
      <c r="D93" s="61" t="str">
        <f>VLOOKUP(A:A,TimeIn!A:A,1,0)</f>
        <v>31-EVEN-D</v>
      </c>
    </row>
    <row r="94" spans="1:4" hidden="1">
      <c r="A94" s="75" t="s">
        <v>191</v>
      </c>
      <c r="B94" t="str">
        <f>VLOOKUP(A:A,TimeOut!A:A,1,0)</f>
        <v>31-EVEN-C</v>
      </c>
      <c r="C94" t="s">
        <v>272</v>
      </c>
      <c r="D94" s="61" t="str">
        <f>VLOOKUP(A:A,TimeIn!A:A,1,0)</f>
        <v>31-EVEN-C</v>
      </c>
    </row>
    <row r="95" spans="1:4" hidden="1">
      <c r="A95" s="75" t="s">
        <v>82</v>
      </c>
      <c r="B95" t="str">
        <f>VLOOKUP(A:A,TimeOut!A:A,1,0)</f>
        <v>31-EVEN-B</v>
      </c>
      <c r="C95" t="s">
        <v>272</v>
      </c>
      <c r="D95" s="61" t="str">
        <f>VLOOKUP(A:A,TimeIn!A:A,1,0)</f>
        <v>31-EVEN-B</v>
      </c>
    </row>
    <row r="96" spans="1:4" hidden="1">
      <c r="A96" s="75" t="s">
        <v>190</v>
      </c>
      <c r="B96" t="str">
        <f>VLOOKUP(A:A,TimeOut!A:A,1,0)</f>
        <v>31-EVEN-A</v>
      </c>
      <c r="C96" t="s">
        <v>272</v>
      </c>
      <c r="D96" s="61" t="str">
        <f>VLOOKUP(A:A,TimeIn!A:A,1,0)</f>
        <v>31-EVEN-A</v>
      </c>
    </row>
    <row r="97" spans="1:4" hidden="1">
      <c r="A97" s="75" t="s">
        <v>189</v>
      </c>
      <c r="B97" t="str">
        <f>VLOOKUP(A:A,TimeOut!A:A,1,0)</f>
        <v>30-ODD-K</v>
      </c>
      <c r="C97" t="s">
        <v>275</v>
      </c>
      <c r="D97" s="61" t="str">
        <f>VLOOKUP(A:A,TimeIn!A:A,1,0)</f>
        <v>30-ODD-K</v>
      </c>
    </row>
    <row r="98" spans="1:4" hidden="1">
      <c r="A98" s="75" t="s">
        <v>188</v>
      </c>
      <c r="B98" t="str">
        <f>VLOOKUP(A:A,TimeOut!A:A,1,0)</f>
        <v>30-ODD-G</v>
      </c>
      <c r="C98" t="s">
        <v>275</v>
      </c>
      <c r="D98" s="61" t="str">
        <f>VLOOKUP(A:A,TimeIn!A:A,1,0)</f>
        <v>30-ODD-G</v>
      </c>
    </row>
    <row r="99" spans="1:4">
      <c r="A99" s="75" t="s">
        <v>187</v>
      </c>
      <c r="B99" t="str">
        <f>VLOOKUP(A:A,TimeOut!A:A,1,0)</f>
        <v>30-ODD-D</v>
      </c>
      <c r="C99" t="s">
        <v>275</v>
      </c>
      <c r="D99" s="61" t="str">
        <f>VLOOKUP(A:A,TimeIn!A:A,1,0)</f>
        <v>30-ODD-D</v>
      </c>
    </row>
    <row r="100" spans="1:4" hidden="1">
      <c r="A100" s="75" t="s">
        <v>186</v>
      </c>
      <c r="B100" t="str">
        <f>VLOOKUP(A:A,TimeOut!A:A,1,0)</f>
        <v>30-ODD-C</v>
      </c>
      <c r="C100" t="s">
        <v>275</v>
      </c>
      <c r="D100" s="61" t="str">
        <f>VLOOKUP(A:A,TimeIn!A:A,1,0)</f>
        <v>30-ODD-C</v>
      </c>
    </row>
    <row r="101" spans="1:4" hidden="1">
      <c r="A101" s="75" t="s">
        <v>185</v>
      </c>
      <c r="B101" t="str">
        <f>VLOOKUP(A:A,TimeOut!A:A,1,0)</f>
        <v>30-ODD-B</v>
      </c>
      <c r="C101" t="s">
        <v>275</v>
      </c>
      <c r="D101" s="61" t="str">
        <f>VLOOKUP(A:A,TimeIn!A:A,1,0)</f>
        <v>30-ODD-B</v>
      </c>
    </row>
    <row r="102" spans="1:4" hidden="1">
      <c r="A102" s="75" t="s">
        <v>184</v>
      </c>
      <c r="B102" t="str">
        <f>VLOOKUP(A:A,TimeOut!A:A,1,0)</f>
        <v>30-ODD-A</v>
      </c>
      <c r="C102" t="s">
        <v>275</v>
      </c>
      <c r="D102" s="61" t="str">
        <f>VLOOKUP(A:A,TimeIn!A:A,1,0)</f>
        <v>30-ODD-A</v>
      </c>
    </row>
    <row r="103" spans="1:4" hidden="1">
      <c r="A103" s="75" t="s">
        <v>183</v>
      </c>
      <c r="B103" t="str">
        <f>VLOOKUP(A:A,TimeOut!A:A,1,0)</f>
        <v>30-EVEN-K</v>
      </c>
      <c r="C103" t="s">
        <v>275</v>
      </c>
      <c r="D103" s="61" t="str">
        <f>VLOOKUP(A:A,TimeIn!A:A,1,0)</f>
        <v>30-EVEN-K</v>
      </c>
    </row>
    <row r="104" spans="1:4" hidden="1">
      <c r="A104" s="75" t="s">
        <v>182</v>
      </c>
      <c r="B104" t="str">
        <f>VLOOKUP(A:A,TimeOut!A:A,1,0)</f>
        <v>30-EVEN-G</v>
      </c>
      <c r="C104" t="s">
        <v>275</v>
      </c>
      <c r="D104" s="61" t="str">
        <f>VLOOKUP(A:A,TimeIn!A:A,1,0)</f>
        <v>30-EVEN-G</v>
      </c>
    </row>
    <row r="105" spans="1:4">
      <c r="A105" s="75" t="s">
        <v>181</v>
      </c>
      <c r="B105" t="str">
        <f>VLOOKUP(A:A,TimeOut!A:A,1,0)</f>
        <v>30-EVEN-D</v>
      </c>
      <c r="C105" t="s">
        <v>275</v>
      </c>
      <c r="D105" s="61" t="str">
        <f>VLOOKUP(A:A,TimeIn!A:A,1,0)</f>
        <v>30-EVEN-D</v>
      </c>
    </row>
    <row r="106" spans="1:4" hidden="1">
      <c r="A106" s="75" t="s">
        <v>180</v>
      </c>
      <c r="B106" t="str">
        <f>VLOOKUP(A:A,TimeOut!A:A,1,0)</f>
        <v>30-EVEN-C</v>
      </c>
      <c r="C106" t="s">
        <v>275</v>
      </c>
      <c r="D106" s="61" t="str">
        <f>VLOOKUP(A:A,TimeIn!A:A,1,0)</f>
        <v>30-EVEN-C</v>
      </c>
    </row>
    <row r="107" spans="1:4" hidden="1">
      <c r="A107" s="75" t="s">
        <v>179</v>
      </c>
      <c r="B107" t="str">
        <f>VLOOKUP(A:A,TimeOut!A:A,1,0)</f>
        <v>30-EVEN-B</v>
      </c>
      <c r="C107" t="s">
        <v>275</v>
      </c>
      <c r="D107" s="61" t="str">
        <f>VLOOKUP(A:A,TimeIn!A:A,1,0)</f>
        <v>30-EVEN-B</v>
      </c>
    </row>
    <row r="108" spans="1:4" hidden="1">
      <c r="A108" s="75" t="s">
        <v>178</v>
      </c>
      <c r="B108" t="str">
        <f>VLOOKUP(A:A,TimeOut!A:A,1,0)</f>
        <v>30-EVEN-A</v>
      </c>
      <c r="C108" t="s">
        <v>275</v>
      </c>
      <c r="D108" s="61" t="str">
        <f>VLOOKUP(A:A,TimeIn!A:A,1,0)</f>
        <v>30-EVEN-A</v>
      </c>
    </row>
    <row r="109" spans="1:4" hidden="1">
      <c r="A109" s="75" t="s">
        <v>177</v>
      </c>
      <c r="B109" t="str">
        <f>VLOOKUP(A:A,TimeOut!A:A,1,0)</f>
        <v>29-ODD-K</v>
      </c>
      <c r="C109" t="s">
        <v>275</v>
      </c>
      <c r="D109" s="61" t="str">
        <f>VLOOKUP(A:A,TimeIn!A:A,1,0)</f>
        <v>29-ODD-K</v>
      </c>
    </row>
    <row r="110" spans="1:4" hidden="1">
      <c r="A110" s="75" t="s">
        <v>176</v>
      </c>
      <c r="B110" t="str">
        <f>VLOOKUP(A:A,TimeOut!A:A,1,0)</f>
        <v>29-ODD-G</v>
      </c>
      <c r="C110" t="s">
        <v>275</v>
      </c>
      <c r="D110" s="61" t="str">
        <f>VLOOKUP(A:A,TimeIn!A:A,1,0)</f>
        <v>29-ODD-G</v>
      </c>
    </row>
    <row r="111" spans="1:4" hidden="1">
      <c r="A111" s="75" t="s">
        <v>175</v>
      </c>
      <c r="B111" t="str">
        <f>VLOOKUP(A:A,TimeOut!A:A,1,0)</f>
        <v>29-ODD-D</v>
      </c>
      <c r="C111" t="s">
        <v>275</v>
      </c>
      <c r="D111" s="61" t="str">
        <f>VLOOKUP(A:A,TimeIn!A:A,1,0)</f>
        <v>29-ODD-D</v>
      </c>
    </row>
    <row r="112" spans="1:4" hidden="1">
      <c r="A112" s="75" t="s">
        <v>107</v>
      </c>
      <c r="B112" t="str">
        <f>VLOOKUP(A:A,TimeOut!A:A,1,0)</f>
        <v>29-ODD-C</v>
      </c>
      <c r="C112" t="s">
        <v>275</v>
      </c>
      <c r="D112" s="61" t="str">
        <f>VLOOKUP(A:A,TimeIn!A:A,1,0)</f>
        <v>29-ODD-C</v>
      </c>
    </row>
    <row r="113" spans="1:4" hidden="1">
      <c r="A113" s="75" t="s">
        <v>174</v>
      </c>
      <c r="B113" t="str">
        <f>VLOOKUP(A:A,TimeOut!A:A,1,0)</f>
        <v>29-ODD-B</v>
      </c>
      <c r="C113" t="s">
        <v>275</v>
      </c>
      <c r="D113" s="61" t="str">
        <f>VLOOKUP(A:A,TimeIn!A:A,1,0)</f>
        <v>29-ODD-B</v>
      </c>
    </row>
    <row r="114" spans="1:4" hidden="1">
      <c r="A114" s="75" t="s">
        <v>93</v>
      </c>
      <c r="B114" t="str">
        <f>VLOOKUP(A:A,TimeOut!A:A,1,0)</f>
        <v>29-ODD-A</v>
      </c>
      <c r="C114" t="s">
        <v>275</v>
      </c>
      <c r="D114" s="61" t="str">
        <f>VLOOKUP(A:A,TimeIn!A:A,1,0)</f>
        <v>29-ODD-A</v>
      </c>
    </row>
    <row r="115" spans="1:4" hidden="1">
      <c r="A115" s="75" t="s">
        <v>173</v>
      </c>
      <c r="B115" t="str">
        <f>VLOOKUP(A:A,TimeOut!A:A,1,0)</f>
        <v>29-EVEN-K</v>
      </c>
      <c r="C115" t="s">
        <v>275</v>
      </c>
      <c r="D115" s="61" t="str">
        <f>VLOOKUP(A:A,TimeIn!A:A,1,0)</f>
        <v>29-EVEN-K</v>
      </c>
    </row>
    <row r="116" spans="1:4" hidden="1">
      <c r="A116" s="75" t="s">
        <v>172</v>
      </c>
      <c r="B116" t="str">
        <f>VLOOKUP(A:A,TimeOut!A:A,1,0)</f>
        <v>29-EVEN-G</v>
      </c>
      <c r="C116" t="s">
        <v>275</v>
      </c>
      <c r="D116" s="61" t="str">
        <f>VLOOKUP(A:A,TimeIn!A:A,1,0)</f>
        <v>29-EVEN-G</v>
      </c>
    </row>
    <row r="117" spans="1:4" hidden="1">
      <c r="A117" s="75" t="s">
        <v>171</v>
      </c>
      <c r="B117" t="str">
        <f>VLOOKUP(A:A,TimeOut!A:A,1,0)</f>
        <v>29-EVEN-D</v>
      </c>
      <c r="C117" t="s">
        <v>275</v>
      </c>
      <c r="D117" s="61" t="str">
        <f>VLOOKUP(A:A,TimeIn!A:A,1,0)</f>
        <v>29-EVEN-D</v>
      </c>
    </row>
    <row r="118" spans="1:4" hidden="1">
      <c r="A118" s="75" t="s">
        <v>98</v>
      </c>
      <c r="B118" t="str">
        <f>VLOOKUP(A:A,TimeOut!A:A,1,0)</f>
        <v>29-EVEN-C</v>
      </c>
      <c r="C118" t="s">
        <v>275</v>
      </c>
      <c r="D118" s="61" t="str">
        <f>VLOOKUP(A:A,TimeIn!A:A,1,0)</f>
        <v>29-EVEN-C</v>
      </c>
    </row>
    <row r="119" spans="1:4" hidden="1">
      <c r="A119" s="75" t="s">
        <v>85</v>
      </c>
      <c r="B119" t="str">
        <f>VLOOKUP(A:A,TimeOut!A:A,1,0)</f>
        <v>29-EVEN-B</v>
      </c>
      <c r="C119" t="s">
        <v>275</v>
      </c>
      <c r="D119" s="61" t="str">
        <f>VLOOKUP(A:A,TimeIn!A:A,1,0)</f>
        <v>29-EVEN-B</v>
      </c>
    </row>
    <row r="120" spans="1:4" hidden="1">
      <c r="A120" s="75" t="s">
        <v>91</v>
      </c>
      <c r="B120" t="str">
        <f>VLOOKUP(A:A,TimeOut!A:A,1,0)</f>
        <v>29-EVEN-A</v>
      </c>
      <c r="C120" t="s">
        <v>275</v>
      </c>
      <c r="D120" s="61" t="str">
        <f>VLOOKUP(A:A,TimeIn!A:A,1,0)</f>
        <v>29-EVEN-A</v>
      </c>
    </row>
    <row r="121" spans="1:4" hidden="1">
      <c r="A121" s="75" t="s">
        <v>170</v>
      </c>
      <c r="B121" t="str">
        <f>VLOOKUP(A:A,TimeOut!A:A,1,0)</f>
        <v>28-ODD-K</v>
      </c>
      <c r="C121" t="s">
        <v>275</v>
      </c>
      <c r="D121" s="61" t="str">
        <f>VLOOKUP(A:A,TimeIn!A:A,1,0)</f>
        <v>28-ODD-K</v>
      </c>
    </row>
    <row r="122" spans="1:4" hidden="1">
      <c r="A122" s="75" t="s">
        <v>169</v>
      </c>
      <c r="B122" t="str">
        <f>VLOOKUP(A:A,TimeOut!A:A,1,0)</f>
        <v>28-ODD-G</v>
      </c>
      <c r="C122" t="s">
        <v>275</v>
      </c>
      <c r="D122" s="61" t="str">
        <f>VLOOKUP(A:A,TimeIn!A:A,1,0)</f>
        <v>28-ODD-G</v>
      </c>
    </row>
    <row r="123" spans="1:4" hidden="1">
      <c r="A123" s="75" t="s">
        <v>168</v>
      </c>
      <c r="B123" t="str">
        <f>VLOOKUP(A:A,TimeOut!A:A,1,0)</f>
        <v>28-ODD-D</v>
      </c>
      <c r="C123" t="s">
        <v>275</v>
      </c>
      <c r="D123" s="61" t="str">
        <f>VLOOKUP(A:A,TimeIn!A:A,1,0)</f>
        <v>28-ODD-D</v>
      </c>
    </row>
    <row r="124" spans="1:4" hidden="1">
      <c r="A124" s="75" t="s">
        <v>167</v>
      </c>
      <c r="B124" t="str">
        <f>VLOOKUP(A:A,TimeOut!A:A,1,0)</f>
        <v>28-ODD-C</v>
      </c>
      <c r="C124" t="s">
        <v>275</v>
      </c>
      <c r="D124" s="61" t="str">
        <f>VLOOKUP(A:A,TimeIn!A:A,1,0)</f>
        <v>28-ODD-C</v>
      </c>
    </row>
    <row r="125" spans="1:4" hidden="1">
      <c r="A125" s="75" t="s">
        <v>166</v>
      </c>
      <c r="B125" t="str">
        <f>VLOOKUP(A:A,TimeOut!A:A,1,0)</f>
        <v>28-ODD-B</v>
      </c>
      <c r="C125" t="s">
        <v>275</v>
      </c>
      <c r="D125" s="61" t="str">
        <f>VLOOKUP(A:A,TimeIn!A:A,1,0)</f>
        <v>28-ODD-B</v>
      </c>
    </row>
    <row r="126" spans="1:4" hidden="1">
      <c r="A126" s="75" t="s">
        <v>165</v>
      </c>
      <c r="B126" t="str">
        <f>VLOOKUP(A:A,TimeOut!A:A,1,0)</f>
        <v>28-ODD-A</v>
      </c>
      <c r="C126" t="s">
        <v>275</v>
      </c>
      <c r="D126" s="61" t="str">
        <f>VLOOKUP(A:A,TimeIn!A:A,1,0)</f>
        <v>28-ODD-A</v>
      </c>
    </row>
    <row r="127" spans="1:4" hidden="1">
      <c r="A127" s="75" t="s">
        <v>164</v>
      </c>
      <c r="B127" t="str">
        <f>VLOOKUP(A:A,TimeOut!A:A,1,0)</f>
        <v>28-EVEN-K</v>
      </c>
      <c r="C127" t="s">
        <v>275</v>
      </c>
      <c r="D127" s="61" t="str">
        <f>VLOOKUP(A:A,TimeIn!A:A,1,0)</f>
        <v>28-EVEN-K</v>
      </c>
    </row>
    <row r="128" spans="1:4" hidden="1">
      <c r="A128" s="75" t="s">
        <v>163</v>
      </c>
      <c r="B128" t="str">
        <f>VLOOKUP(A:A,TimeOut!A:A,1,0)</f>
        <v>28-EVEN-G</v>
      </c>
      <c r="C128" t="s">
        <v>275</v>
      </c>
      <c r="D128" s="61" t="str">
        <f>VLOOKUP(A:A,TimeIn!A:A,1,0)</f>
        <v>28-EVEN-G</v>
      </c>
    </row>
    <row r="129" spans="1:4" hidden="1">
      <c r="A129" s="75" t="s">
        <v>162</v>
      </c>
      <c r="B129" t="str">
        <f>VLOOKUP(A:A,TimeOut!A:A,1,0)</f>
        <v>28-EVEN-D</v>
      </c>
      <c r="C129" t="s">
        <v>275</v>
      </c>
      <c r="D129" s="61" t="str">
        <f>VLOOKUP(A:A,TimeIn!A:A,1,0)</f>
        <v>28-EVEN-D</v>
      </c>
    </row>
    <row r="130" spans="1:4" hidden="1">
      <c r="A130" s="75" t="s">
        <v>161</v>
      </c>
      <c r="B130" t="str">
        <f>VLOOKUP(A:A,TimeOut!A:A,1,0)</f>
        <v>28-EVEN-C</v>
      </c>
      <c r="C130" t="s">
        <v>275</v>
      </c>
      <c r="D130" s="61" t="str">
        <f>VLOOKUP(A:A,TimeIn!A:A,1,0)</f>
        <v>28-EVEN-C</v>
      </c>
    </row>
    <row r="131" spans="1:4" hidden="1">
      <c r="A131" s="75" t="s">
        <v>160</v>
      </c>
      <c r="B131" t="str">
        <f>VLOOKUP(A:A,TimeOut!A:A,1,0)</f>
        <v>28-EVEN-B</v>
      </c>
      <c r="C131" t="s">
        <v>275</v>
      </c>
      <c r="D131" s="61" t="str">
        <f>VLOOKUP(A:A,TimeIn!A:A,1,0)</f>
        <v>28-EVEN-B</v>
      </c>
    </row>
    <row r="132" spans="1:4" hidden="1">
      <c r="A132" s="75" t="s">
        <v>159</v>
      </c>
      <c r="B132" t="str">
        <f>VLOOKUP(A:A,TimeOut!A:A,1,0)</f>
        <v>28-EVEN-A</v>
      </c>
      <c r="C132" t="s">
        <v>275</v>
      </c>
      <c r="D132" s="61" t="str">
        <f>VLOOKUP(A:A,TimeIn!A:A,1,0)</f>
        <v>28-EVEN-A</v>
      </c>
    </row>
    <row r="133" spans="1:4" hidden="1">
      <c r="A133" s="75" t="s">
        <v>158</v>
      </c>
      <c r="B133" t="str">
        <f>VLOOKUP(A:A,TimeOut!A:A,1,0)</f>
        <v>27-ODD-K</v>
      </c>
      <c r="C133" t="s">
        <v>275</v>
      </c>
      <c r="D133" s="61" t="str">
        <f>VLOOKUP(A:A,TimeIn!A:A,1,0)</f>
        <v>27-ODD-K</v>
      </c>
    </row>
    <row r="134" spans="1:4" hidden="1">
      <c r="A134" s="75" t="s">
        <v>157</v>
      </c>
      <c r="B134" t="str">
        <f>VLOOKUP(A:A,TimeOut!A:A,1,0)</f>
        <v>27-ODD-G</v>
      </c>
      <c r="C134" t="s">
        <v>275</v>
      </c>
      <c r="D134" s="61" t="str">
        <f>VLOOKUP(A:A,TimeIn!A:A,1,0)</f>
        <v>27-ODD-G</v>
      </c>
    </row>
    <row r="135" spans="1:4" hidden="1">
      <c r="A135" s="75" t="s">
        <v>156</v>
      </c>
      <c r="B135" t="str">
        <f>VLOOKUP(A:A,TimeOut!A:A,1,0)</f>
        <v>27-ODD-D</v>
      </c>
      <c r="C135" t="s">
        <v>275</v>
      </c>
      <c r="D135" s="61" t="str">
        <f>VLOOKUP(A:A,TimeIn!A:A,1,0)</f>
        <v>27-ODD-D</v>
      </c>
    </row>
    <row r="136" spans="1:4" hidden="1">
      <c r="A136" s="75" t="s">
        <v>155</v>
      </c>
      <c r="B136" t="str">
        <f>VLOOKUP(A:A,TimeOut!A:A,1,0)</f>
        <v>27-ODD-C</v>
      </c>
      <c r="C136" t="s">
        <v>275</v>
      </c>
      <c r="D136" s="61" t="str">
        <f>VLOOKUP(A:A,TimeIn!A:A,1,0)</f>
        <v>27-ODD-C</v>
      </c>
    </row>
    <row r="137" spans="1:4" hidden="1">
      <c r="A137" s="75" t="s">
        <v>154</v>
      </c>
      <c r="B137" t="str">
        <f>VLOOKUP(A:A,TimeOut!A:A,1,0)</f>
        <v>27-ODD-B</v>
      </c>
      <c r="C137" t="s">
        <v>275</v>
      </c>
      <c r="D137" s="61" t="str">
        <f>VLOOKUP(A:A,TimeIn!A:A,1,0)</f>
        <v>27-ODD-B</v>
      </c>
    </row>
    <row r="138" spans="1:4" hidden="1">
      <c r="A138" s="75" t="s">
        <v>153</v>
      </c>
      <c r="B138" t="str">
        <f>VLOOKUP(A:A,TimeOut!A:A,1,0)</f>
        <v>27-ODD-A</v>
      </c>
      <c r="C138" t="s">
        <v>275</v>
      </c>
      <c r="D138" s="61" t="str">
        <f>VLOOKUP(A:A,TimeIn!A:A,1,0)</f>
        <v>27-ODD-A</v>
      </c>
    </row>
    <row r="139" spans="1:4" hidden="1">
      <c r="A139" s="75" t="s">
        <v>78</v>
      </c>
      <c r="B139" t="str">
        <f>VLOOKUP(A:A,TimeOut!A:A,1,0)</f>
        <v>27-EVEN-K</v>
      </c>
      <c r="C139" t="s">
        <v>275</v>
      </c>
      <c r="D139" s="61" t="str">
        <f>VLOOKUP(A:A,TimeIn!A:A,1,0)</f>
        <v>27-EVEN-K</v>
      </c>
    </row>
    <row r="140" spans="1:4" hidden="1">
      <c r="A140" s="75" t="s">
        <v>152</v>
      </c>
      <c r="B140" t="str">
        <f>VLOOKUP(A:A,TimeOut!A:A,1,0)</f>
        <v>27-EVEN-G</v>
      </c>
      <c r="C140" t="s">
        <v>275</v>
      </c>
      <c r="D140" s="61" t="str">
        <f>VLOOKUP(A:A,TimeIn!A:A,1,0)</f>
        <v>27-EVEN-G</v>
      </c>
    </row>
    <row r="141" spans="1:4" hidden="1">
      <c r="A141" s="75" t="s">
        <v>151</v>
      </c>
      <c r="B141" t="str">
        <f>VLOOKUP(A:A,TimeOut!A:A,1,0)</f>
        <v>27-EVEN-D</v>
      </c>
      <c r="C141" t="s">
        <v>275</v>
      </c>
      <c r="D141" s="61" t="str">
        <f>VLOOKUP(A:A,TimeIn!A:A,1,0)</f>
        <v>27-EVEN-D</v>
      </c>
    </row>
    <row r="142" spans="1:4" hidden="1">
      <c r="A142" s="75" t="s">
        <v>150</v>
      </c>
      <c r="B142" t="str">
        <f>VLOOKUP(A:A,TimeOut!A:A,1,0)</f>
        <v>27-EVEN-C</v>
      </c>
      <c r="C142" t="s">
        <v>275</v>
      </c>
      <c r="D142" s="61" t="str">
        <f>VLOOKUP(A:A,TimeIn!A:A,1,0)</f>
        <v>27-EVEN-C</v>
      </c>
    </row>
    <row r="143" spans="1:4" hidden="1">
      <c r="A143" s="75" t="s">
        <v>149</v>
      </c>
      <c r="B143" t="str">
        <f>VLOOKUP(A:A,TimeOut!A:A,1,0)</f>
        <v>27-EVEN-B</v>
      </c>
      <c r="C143" t="s">
        <v>275</v>
      </c>
      <c r="D143" s="61" t="str">
        <f>VLOOKUP(A:A,TimeIn!A:A,1,0)</f>
        <v>27-EVEN-B</v>
      </c>
    </row>
    <row r="144" spans="1:4" hidden="1">
      <c r="A144" s="75" t="s">
        <v>148</v>
      </c>
      <c r="B144" t="str">
        <f>VLOOKUP(A:A,TimeOut!A:A,1,0)</f>
        <v>27-EVEN-A</v>
      </c>
      <c r="C144" t="s">
        <v>275</v>
      </c>
      <c r="D144" s="61" t="str">
        <f>VLOOKUP(A:A,TimeIn!A:A,1,0)</f>
        <v>27-EVEN-A</v>
      </c>
    </row>
    <row r="145" spans="1:4" hidden="1">
      <c r="A145" s="75" t="s">
        <v>147</v>
      </c>
      <c r="B145" t="str">
        <f>VLOOKUP(A:A,TimeOut!A:A,1,0)</f>
        <v>26-ODD-K</v>
      </c>
      <c r="C145" t="s">
        <v>271</v>
      </c>
      <c r="D145" s="61" t="str">
        <f>VLOOKUP(A:A,TimeIn!A:A,1,0)</f>
        <v>26-ODD-K</v>
      </c>
    </row>
    <row r="146" spans="1:4" hidden="1">
      <c r="A146" s="75" t="s">
        <v>146</v>
      </c>
      <c r="B146" t="str">
        <f>VLOOKUP(A:A,TimeOut!A:A,1,0)</f>
        <v>26-ODD-G</v>
      </c>
      <c r="C146" t="s">
        <v>271</v>
      </c>
      <c r="D146" s="61" t="str">
        <f>VLOOKUP(A:A,TimeIn!A:A,1,0)</f>
        <v>26-ODD-G</v>
      </c>
    </row>
    <row r="147" spans="1:4" hidden="1">
      <c r="A147" s="75" t="s">
        <v>145</v>
      </c>
      <c r="B147" t="str">
        <f>VLOOKUP(A:A,TimeOut!A:A,1,0)</f>
        <v>26-ODD-D</v>
      </c>
      <c r="C147" t="s">
        <v>271</v>
      </c>
      <c r="D147" s="61" t="str">
        <f>VLOOKUP(A:A,TimeIn!A:A,1,0)</f>
        <v>26-ODD-D</v>
      </c>
    </row>
    <row r="148" spans="1:4" hidden="1">
      <c r="A148" s="75" t="s">
        <v>94</v>
      </c>
      <c r="B148" t="str">
        <f>VLOOKUP(A:A,TimeOut!A:A,1,0)</f>
        <v>26-ODD-C</v>
      </c>
      <c r="C148" t="s">
        <v>271</v>
      </c>
      <c r="D148" s="61" t="str">
        <f>VLOOKUP(A:A,TimeIn!A:A,1,0)</f>
        <v>26-ODD-C</v>
      </c>
    </row>
    <row r="149" spans="1:4" hidden="1">
      <c r="A149" s="75" t="s">
        <v>76</v>
      </c>
      <c r="B149" t="str">
        <f>VLOOKUP(A:A,TimeOut!A:A,1,0)</f>
        <v>26-ODD-B</v>
      </c>
      <c r="C149" t="s">
        <v>271</v>
      </c>
      <c r="D149" s="61" t="str">
        <f>VLOOKUP(A:A,TimeIn!A:A,1,0)</f>
        <v>26-ODD-B</v>
      </c>
    </row>
    <row r="150" spans="1:4" hidden="1">
      <c r="A150" s="75" t="s">
        <v>144</v>
      </c>
      <c r="B150" t="str">
        <f>VLOOKUP(A:A,TimeOut!A:A,1,0)</f>
        <v>26-ODD-A</v>
      </c>
      <c r="C150" t="s">
        <v>271</v>
      </c>
      <c r="D150" s="61" t="str">
        <f>VLOOKUP(A:A,TimeIn!A:A,1,0)</f>
        <v>26-ODD-A</v>
      </c>
    </row>
    <row r="151" spans="1:4" hidden="1">
      <c r="A151" s="75" t="s">
        <v>143</v>
      </c>
      <c r="B151" t="str">
        <f>VLOOKUP(A:A,TimeOut!A:A,1,0)</f>
        <v>26-EVEN-K</v>
      </c>
      <c r="C151" t="s">
        <v>271</v>
      </c>
      <c r="D151" s="61" t="str">
        <f>VLOOKUP(A:A,TimeIn!A:A,1,0)</f>
        <v>26-EVEN-K</v>
      </c>
    </row>
    <row r="152" spans="1:4" hidden="1">
      <c r="A152" s="75" t="s">
        <v>142</v>
      </c>
      <c r="B152" t="str">
        <f>VLOOKUP(A:A,TimeOut!A:A,1,0)</f>
        <v>26-EVEN-G</v>
      </c>
      <c r="C152" t="s">
        <v>271</v>
      </c>
      <c r="D152" s="61" t="str">
        <f>VLOOKUP(A:A,TimeIn!A:A,1,0)</f>
        <v>26-EVEN-G</v>
      </c>
    </row>
    <row r="153" spans="1:4" hidden="1">
      <c r="A153" s="75" t="s">
        <v>141</v>
      </c>
      <c r="B153" t="str">
        <f>VLOOKUP(A:A,TimeOut!A:A,1,0)</f>
        <v>26-EVEN-D</v>
      </c>
      <c r="C153" t="s">
        <v>271</v>
      </c>
      <c r="D153" s="61" t="str">
        <f>VLOOKUP(A:A,TimeIn!A:A,1,0)</f>
        <v>26-EVEN-D</v>
      </c>
    </row>
    <row r="154" spans="1:4" hidden="1">
      <c r="A154" s="75" t="s">
        <v>140</v>
      </c>
      <c r="B154" t="str">
        <f>VLOOKUP(A:A,TimeOut!A:A,1,0)</f>
        <v>26-EVEN-C</v>
      </c>
      <c r="C154" t="s">
        <v>271</v>
      </c>
      <c r="D154" s="61" t="str">
        <f>VLOOKUP(A:A,TimeIn!A:A,1,0)</f>
        <v>26-EVEN-C</v>
      </c>
    </row>
    <row r="155" spans="1:4" hidden="1">
      <c r="A155" s="75" t="s">
        <v>92</v>
      </c>
      <c r="B155" t="str">
        <f>VLOOKUP(A:A,TimeOut!A:A,1,0)</f>
        <v>26-EVEN-B</v>
      </c>
      <c r="C155" t="s">
        <v>271</v>
      </c>
      <c r="D155" s="61" t="str">
        <f>VLOOKUP(A:A,TimeIn!A:A,1,0)</f>
        <v>26-EVEN-B</v>
      </c>
    </row>
    <row r="156" spans="1:4" hidden="1">
      <c r="A156" s="75" t="s">
        <v>139</v>
      </c>
      <c r="B156" t="str">
        <f>VLOOKUP(A:A,TimeOut!A:A,1,0)</f>
        <v>26-EVEN-A</v>
      </c>
      <c r="C156" t="s">
        <v>271</v>
      </c>
      <c r="D156" s="61" t="str">
        <f>VLOOKUP(A:A,TimeIn!A:A,1,0)</f>
        <v>26-EVEN-A</v>
      </c>
    </row>
    <row r="157" spans="1:4" hidden="1">
      <c r="A157" s="75" t="s">
        <v>138</v>
      </c>
      <c r="B157" t="str">
        <f>VLOOKUP(A:A,TimeOut!A:A,1,0)</f>
        <v>25-ODD-K</v>
      </c>
      <c r="C157" t="s">
        <v>271</v>
      </c>
      <c r="D157" s="61" t="str">
        <f>VLOOKUP(A:A,TimeIn!A:A,1,0)</f>
        <v>25-ODD-K</v>
      </c>
    </row>
    <row r="158" spans="1:4" hidden="1">
      <c r="A158" s="75" t="s">
        <v>137</v>
      </c>
      <c r="B158" t="str">
        <f>VLOOKUP(A:A,TimeOut!A:A,1,0)</f>
        <v>25-ODD-G</v>
      </c>
      <c r="C158" t="s">
        <v>271</v>
      </c>
      <c r="D158" s="61" t="str">
        <f>VLOOKUP(A:A,TimeIn!A:A,1,0)</f>
        <v>25-ODD-G</v>
      </c>
    </row>
    <row r="159" spans="1:4" hidden="1">
      <c r="A159" s="75" t="s">
        <v>136</v>
      </c>
      <c r="B159" t="str">
        <f>VLOOKUP(A:A,TimeOut!A:A,1,0)</f>
        <v>25-ODD-D</v>
      </c>
      <c r="C159" t="s">
        <v>271</v>
      </c>
      <c r="D159" s="61" t="str">
        <f>VLOOKUP(A:A,TimeIn!A:A,1,0)</f>
        <v>25-ODD-D</v>
      </c>
    </row>
    <row r="160" spans="1:4" hidden="1">
      <c r="A160" s="75" t="s">
        <v>135</v>
      </c>
      <c r="B160" t="str">
        <f>VLOOKUP(A:A,TimeOut!A:A,1,0)</f>
        <v>25-ODD-C</v>
      </c>
      <c r="C160" t="s">
        <v>271</v>
      </c>
      <c r="D160" s="61" t="str">
        <f>VLOOKUP(A:A,TimeIn!A:A,1,0)</f>
        <v>25-ODD-C</v>
      </c>
    </row>
    <row r="161" spans="1:4" hidden="1">
      <c r="A161" s="75" t="s">
        <v>101</v>
      </c>
      <c r="B161" t="str">
        <f>VLOOKUP(A:A,TimeOut!A:A,1,0)</f>
        <v>25-EVEN-K</v>
      </c>
      <c r="C161" t="s">
        <v>271</v>
      </c>
      <c r="D161" s="61" t="str">
        <f>VLOOKUP(A:A,TimeIn!A:A,1,0)</f>
        <v>25-EVEN-K</v>
      </c>
    </row>
    <row r="162" spans="1:4" hidden="1">
      <c r="A162" s="75" t="s">
        <v>134</v>
      </c>
      <c r="B162" t="str">
        <f>VLOOKUP(A:A,TimeOut!A:A,1,0)</f>
        <v>25-EVEN-G</v>
      </c>
      <c r="C162" t="s">
        <v>271</v>
      </c>
      <c r="D162" s="61" t="str">
        <f>VLOOKUP(A:A,TimeIn!A:A,1,0)</f>
        <v>25-EVEN-G</v>
      </c>
    </row>
    <row r="163" spans="1:4" hidden="1">
      <c r="A163" s="75" t="s">
        <v>133</v>
      </c>
      <c r="B163" t="str">
        <f>VLOOKUP(A:A,TimeOut!A:A,1,0)</f>
        <v>25-EVEN-D</v>
      </c>
      <c r="C163" t="s">
        <v>271</v>
      </c>
      <c r="D163" s="61" t="str">
        <f>VLOOKUP(A:A,TimeIn!A:A,1,0)</f>
        <v>25-EVEN-D</v>
      </c>
    </row>
    <row r="164" spans="1:4" hidden="1">
      <c r="A164" s="75" t="s">
        <v>132</v>
      </c>
      <c r="B164" t="str">
        <f>VLOOKUP(A:A,TimeOut!A:A,1,0)</f>
        <v>25-EVEN-C</v>
      </c>
      <c r="C164" t="s">
        <v>271</v>
      </c>
      <c r="D164" s="61" t="str">
        <f>VLOOKUP(A:A,TimeIn!A:A,1,0)</f>
        <v>25-EVEN-C</v>
      </c>
    </row>
    <row r="165" spans="1:4" hidden="1">
      <c r="A165" s="75" t="s">
        <v>81</v>
      </c>
      <c r="B165" t="str">
        <f>VLOOKUP(A:A,TimeOut!A:A,1,0)</f>
        <v>24-ODD-K</v>
      </c>
      <c r="C165" t="s">
        <v>271</v>
      </c>
      <c r="D165" s="61" t="str">
        <f>VLOOKUP(A:A,TimeIn!A:A,1,0)</f>
        <v>24-ODD-K</v>
      </c>
    </row>
    <row r="166" spans="1:4" hidden="1">
      <c r="A166" s="75" t="s">
        <v>131</v>
      </c>
      <c r="B166" t="str">
        <f>VLOOKUP(A:A,TimeOut!A:A,1,0)</f>
        <v>24-ODD-G</v>
      </c>
      <c r="C166" t="s">
        <v>271</v>
      </c>
      <c r="D166" s="61" t="str">
        <f>VLOOKUP(A:A,TimeIn!A:A,1,0)</f>
        <v>24-ODD-G</v>
      </c>
    </row>
    <row r="167" spans="1:4" hidden="1">
      <c r="A167" s="75" t="s">
        <v>130</v>
      </c>
      <c r="B167" t="str">
        <f>VLOOKUP(A:A,TimeOut!A:A,1,0)</f>
        <v>24-ODD-D</v>
      </c>
      <c r="C167" t="s">
        <v>271</v>
      </c>
      <c r="D167" s="61" t="str">
        <f>VLOOKUP(A:A,TimeIn!A:A,1,0)</f>
        <v>24-ODD-D</v>
      </c>
    </row>
    <row r="168" spans="1:4" hidden="1">
      <c r="A168" s="75" t="s">
        <v>129</v>
      </c>
      <c r="B168" t="str">
        <f>VLOOKUP(A:A,TimeOut!A:A,1,0)</f>
        <v>24-ODD-C</v>
      </c>
      <c r="C168" t="s">
        <v>271</v>
      </c>
      <c r="D168" s="61" t="str">
        <f>VLOOKUP(A:A,TimeIn!A:A,1,0)</f>
        <v>24-ODD-C</v>
      </c>
    </row>
    <row r="169" spans="1:4" hidden="1">
      <c r="A169" s="75" t="s">
        <v>128</v>
      </c>
      <c r="B169" t="str">
        <f>VLOOKUP(A:A,TimeOut!A:A,1,0)</f>
        <v>24-EVEN-K</v>
      </c>
      <c r="C169" t="s">
        <v>271</v>
      </c>
      <c r="D169" s="61" t="str">
        <f>VLOOKUP(A:A,TimeIn!A:A,1,0)</f>
        <v>24-EVEN-K</v>
      </c>
    </row>
    <row r="170" spans="1:4" hidden="1">
      <c r="A170" s="75" t="s">
        <v>99</v>
      </c>
      <c r="B170" t="str">
        <f>VLOOKUP(A:A,TimeOut!A:A,1,0)</f>
        <v>24-EVEN-G</v>
      </c>
      <c r="C170" t="s">
        <v>271</v>
      </c>
      <c r="D170" s="61" t="str">
        <f>VLOOKUP(A:A,TimeIn!A:A,1,0)</f>
        <v>24-EVEN-G</v>
      </c>
    </row>
    <row r="171" spans="1:4" hidden="1">
      <c r="A171" s="75" t="s">
        <v>127</v>
      </c>
      <c r="B171" t="str">
        <f>VLOOKUP(A:A,TimeOut!A:A,1,0)</f>
        <v>24-EVEN-D</v>
      </c>
      <c r="C171" t="s">
        <v>271</v>
      </c>
      <c r="D171" s="61" t="str">
        <f>VLOOKUP(A:A,TimeIn!A:A,1,0)</f>
        <v>24-EVEN-D</v>
      </c>
    </row>
    <row r="172" spans="1:4" hidden="1">
      <c r="A172" s="75" t="s">
        <v>126</v>
      </c>
      <c r="B172" t="str">
        <f>VLOOKUP(A:A,TimeOut!A:A,1,0)</f>
        <v>24-EVEN-C</v>
      </c>
      <c r="C172" t="s">
        <v>271</v>
      </c>
      <c r="D172" s="61" t="str">
        <f>VLOOKUP(A:A,TimeIn!A:A,1,0)</f>
        <v>24-EVEN-C</v>
      </c>
    </row>
    <row r="173" spans="1:4" hidden="1">
      <c r="A173" s="75" t="s">
        <v>125</v>
      </c>
      <c r="B173" t="str">
        <f>VLOOKUP(A:A,TimeOut!A:A,1,0)</f>
        <v>23-ODD-K</v>
      </c>
      <c r="C173" t="s">
        <v>271</v>
      </c>
      <c r="D173" s="61" t="str">
        <f>VLOOKUP(A:A,TimeIn!A:A,1,0)</f>
        <v>23-ODD-K</v>
      </c>
    </row>
    <row r="174" spans="1:4" hidden="1">
      <c r="A174" s="75" t="s">
        <v>79</v>
      </c>
      <c r="B174" t="str">
        <f>VLOOKUP(A:A,TimeOut!A:A,1,0)</f>
        <v>23-ODD-G</v>
      </c>
      <c r="C174" t="s">
        <v>271</v>
      </c>
      <c r="D174" s="61" t="str">
        <f>VLOOKUP(A:A,TimeIn!A:A,1,0)</f>
        <v>23-ODD-G</v>
      </c>
    </row>
    <row r="175" spans="1:4" hidden="1">
      <c r="A175" s="75" t="s">
        <v>124</v>
      </c>
      <c r="B175" t="str">
        <f>VLOOKUP(A:A,TimeOut!A:A,1,0)</f>
        <v>23-ODD-D</v>
      </c>
      <c r="C175" t="s">
        <v>271</v>
      </c>
      <c r="D175" s="61" t="str">
        <f>VLOOKUP(A:A,TimeIn!A:A,1,0)</f>
        <v>23-ODD-D</v>
      </c>
    </row>
    <row r="176" spans="1:4" hidden="1">
      <c r="A176" s="75" t="s">
        <v>108</v>
      </c>
      <c r="B176" t="str">
        <f>VLOOKUP(A:A,TimeOut!A:A,1,0)</f>
        <v>23-ODD-C</v>
      </c>
      <c r="C176" t="s">
        <v>271</v>
      </c>
      <c r="D176" s="61" t="str">
        <f>VLOOKUP(A:A,TimeIn!A:A,1,0)</f>
        <v>23-ODD-C</v>
      </c>
    </row>
    <row r="177" spans="1:4" hidden="1">
      <c r="A177" s="75" t="s">
        <v>123</v>
      </c>
      <c r="B177" t="str">
        <f>VLOOKUP(A:A,TimeOut!A:A,1,0)</f>
        <v>23-EVEN-K</v>
      </c>
      <c r="C177" t="s">
        <v>271</v>
      </c>
      <c r="D177" s="61" t="str">
        <f>VLOOKUP(A:A,TimeIn!A:A,1,0)</f>
        <v>23-EVEN-K</v>
      </c>
    </row>
    <row r="178" spans="1:4" hidden="1">
      <c r="A178" s="75" t="s">
        <v>122</v>
      </c>
      <c r="B178" t="str">
        <f>VLOOKUP(A:A,TimeOut!A:A,1,0)</f>
        <v>23-EVEN-G</v>
      </c>
      <c r="C178" t="s">
        <v>271</v>
      </c>
      <c r="D178" s="61" t="str">
        <f>VLOOKUP(A:A,TimeIn!A:A,1,0)</f>
        <v>23-EVEN-G</v>
      </c>
    </row>
    <row r="179" spans="1:4" hidden="1">
      <c r="A179" s="75" t="s">
        <v>121</v>
      </c>
      <c r="B179" t="str">
        <f>VLOOKUP(A:A,TimeOut!A:A,1,0)</f>
        <v>23-EVEN-D</v>
      </c>
      <c r="C179" t="s">
        <v>271</v>
      </c>
      <c r="D179" s="61" t="str">
        <f>VLOOKUP(A:A,TimeIn!A:A,1,0)</f>
        <v>23-EVEN-D</v>
      </c>
    </row>
    <row r="180" spans="1:4" hidden="1">
      <c r="A180" s="75" t="s">
        <v>109</v>
      </c>
      <c r="B180" t="str">
        <f>VLOOKUP(A:A,TimeOut!A:A,1,0)</f>
        <v>23-EVEN-C</v>
      </c>
      <c r="C180" t="s">
        <v>271</v>
      </c>
      <c r="D180" s="61" t="str">
        <f>VLOOKUP(A:A,TimeIn!A:A,1,0)</f>
        <v>23-EVEN-C</v>
      </c>
    </row>
    <row r="181" spans="1:4" hidden="1">
      <c r="A181" s="75" t="s">
        <v>120</v>
      </c>
      <c r="B181" t="str">
        <f>VLOOKUP(A:A,TimeOut!A:A,1,0)</f>
        <v>22-ODD-C</v>
      </c>
      <c r="C181" t="s">
        <v>271</v>
      </c>
      <c r="D181" s="61" t="str">
        <f>VLOOKUP(A:A,TimeIn!A:A,1,0)</f>
        <v>22-ODD-C</v>
      </c>
    </row>
    <row r="182" spans="1:4" hidden="1">
      <c r="A182" s="75" t="s">
        <v>119</v>
      </c>
      <c r="B182" t="str">
        <f>VLOOKUP(A:A,TimeOut!A:A,1,0)</f>
        <v>22-EVEN-K</v>
      </c>
      <c r="C182" t="s">
        <v>271</v>
      </c>
      <c r="D182" s="61" t="str">
        <f>VLOOKUP(A:A,TimeIn!A:A,1,0)</f>
        <v>22-EVEN-K</v>
      </c>
    </row>
    <row r="183" spans="1:4" hidden="1">
      <c r="A183" s="75" t="s">
        <v>118</v>
      </c>
      <c r="B183" t="str">
        <f>VLOOKUP(A:A,TimeOut!A:A,1,0)</f>
        <v>22-EVEN-G</v>
      </c>
      <c r="C183" t="s">
        <v>271</v>
      </c>
      <c r="D183" s="61" t="str">
        <f>VLOOKUP(A:A,TimeIn!A:A,1,0)</f>
        <v>22-EVEN-G</v>
      </c>
    </row>
    <row r="184" spans="1:4" hidden="1">
      <c r="A184" s="75" t="s">
        <v>117</v>
      </c>
      <c r="B184" t="str">
        <f>VLOOKUP(A:A,TimeOut!A:A,1,0)</f>
        <v>22-EVEN-D</v>
      </c>
      <c r="C184" t="s">
        <v>271</v>
      </c>
      <c r="D184" s="61" t="str">
        <f>VLOOKUP(A:A,TimeIn!A:A,1,0)</f>
        <v>22-EVEN-D</v>
      </c>
    </row>
    <row r="185" spans="1:4" hidden="1">
      <c r="A185" s="75" t="s">
        <v>80</v>
      </c>
      <c r="B185" t="str">
        <f>VLOOKUP(A:A,TimeOut!A:A,1,0)</f>
        <v>22-EVEN-C</v>
      </c>
      <c r="C185" t="s">
        <v>271</v>
      </c>
      <c r="D185" s="61" t="str">
        <f>VLOOKUP(A:A,TimeIn!A:A,1,0)</f>
        <v>22-EVEN-C</v>
      </c>
    </row>
    <row r="186" spans="1:4" hidden="1">
      <c r="A186" s="75" t="s">
        <v>116</v>
      </c>
      <c r="B186" t="str">
        <f>VLOOKUP(A:A,TimeOut!A:A,1,0)</f>
        <v>21-ODD-K</v>
      </c>
      <c r="C186" t="s">
        <v>271</v>
      </c>
      <c r="D186" s="61" t="str">
        <f>VLOOKUP(A:A,TimeIn!A:A,1,0)</f>
        <v>21-ODD-K</v>
      </c>
    </row>
    <row r="187" spans="1:4" hidden="1">
      <c r="A187" s="75" t="s">
        <v>115</v>
      </c>
      <c r="B187" t="str">
        <f>VLOOKUP(A:A,TimeOut!A:A,1,0)</f>
        <v>21-ODD-G</v>
      </c>
      <c r="C187" t="s">
        <v>271</v>
      </c>
      <c r="D187" s="61" t="str">
        <f>VLOOKUP(A:A,TimeIn!A:A,1,0)</f>
        <v>21-ODD-G</v>
      </c>
    </row>
    <row r="188" spans="1:4" hidden="1">
      <c r="A188" s="75" t="s">
        <v>114</v>
      </c>
      <c r="B188" t="str">
        <f>VLOOKUP(A:A,TimeOut!A:A,1,0)</f>
        <v>21-ODD-D</v>
      </c>
      <c r="C188" t="s">
        <v>271</v>
      </c>
      <c r="D188" s="61" t="str">
        <f>VLOOKUP(A:A,TimeIn!A:A,1,0)</f>
        <v>21-ODD-D</v>
      </c>
    </row>
    <row r="189" spans="1:4" hidden="1">
      <c r="A189" s="75" t="s">
        <v>113</v>
      </c>
      <c r="B189" t="str">
        <f>VLOOKUP(A:A,TimeOut!A:A,1,0)</f>
        <v>21-ODD-C</v>
      </c>
      <c r="C189" t="s">
        <v>271</v>
      </c>
      <c r="D189" s="61" t="str">
        <f>VLOOKUP(A:A,TimeIn!A:A,1,0)</f>
        <v>21-ODD-C</v>
      </c>
    </row>
    <row r="190" spans="1:4" hidden="1">
      <c r="A190" s="75" t="s">
        <v>112</v>
      </c>
      <c r="B190" t="str">
        <f>VLOOKUP(A:A,TimeOut!A:A,1,0)</f>
        <v>21-EVEN-D</v>
      </c>
      <c r="C190" t="s">
        <v>271</v>
      </c>
      <c r="D190" s="61" t="str">
        <f>VLOOKUP(A:A,TimeIn!A:A,1,0)</f>
        <v>21-EVEN-D</v>
      </c>
    </row>
    <row r="191" spans="1:4" hidden="1"/>
    <row r="192" spans="1:4" hidden="1"/>
    <row r="193" hidden="1"/>
    <row r="194" hidden="1"/>
    <row r="195" hidden="1"/>
    <row r="196" hidden="1"/>
    <row r="197" hidden="1"/>
  </sheetData>
  <autoFilter ref="A1:GI197">
    <filterColumn colId="3">
      <filters>
        <filter val="#N/A"/>
      </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H13"/>
  <sheetViews>
    <sheetView zoomScale="130" zoomScaleNormal="130" workbookViewId="0">
      <selection activeCell="A3" sqref="A3"/>
    </sheetView>
  </sheetViews>
  <sheetFormatPr defaultRowHeight="15.75"/>
  <cols>
    <col min="1" max="1" width="22.875" customWidth="1"/>
    <col min="2" max="2" width="17.625" bestFit="1" customWidth="1"/>
    <col min="3" max="3" width="6.375" style="61" bestFit="1" customWidth="1"/>
    <col min="4" max="4" width="10" bestFit="1" customWidth="1"/>
    <col min="5" max="5" width="4.625" bestFit="1" customWidth="1"/>
    <col min="6" max="6" width="6.375" bestFit="1" customWidth="1"/>
    <col min="7" max="7" width="10" bestFit="1" customWidth="1"/>
    <col min="8" max="8" width="4.625" bestFit="1" customWidth="1"/>
  </cols>
  <sheetData>
    <row r="4" spans="1:8">
      <c r="B4" s="86" t="s">
        <v>287</v>
      </c>
      <c r="C4" s="83" t="s">
        <v>279</v>
      </c>
      <c r="D4" s="83"/>
      <c r="E4" s="83"/>
      <c r="F4" s="87" t="s">
        <v>278</v>
      </c>
      <c r="G4" s="87"/>
      <c r="H4" s="87"/>
    </row>
    <row r="5" spans="1:8">
      <c r="B5" s="88"/>
      <c r="C5" s="84" t="s">
        <v>280</v>
      </c>
      <c r="D5" s="84" t="s">
        <v>288</v>
      </c>
      <c r="E5" s="85" t="s">
        <v>289</v>
      </c>
      <c r="F5" s="89" t="s">
        <v>280</v>
      </c>
      <c r="G5" s="89" t="s">
        <v>288</v>
      </c>
      <c r="H5" s="90" t="s">
        <v>289</v>
      </c>
    </row>
    <row r="6" spans="1:8">
      <c r="A6" s="61" t="s">
        <v>284</v>
      </c>
      <c r="B6" s="94" t="s">
        <v>277</v>
      </c>
      <c r="C6" s="95">
        <v>46</v>
      </c>
      <c r="D6" s="92">
        <f>C6-E6</f>
        <v>46</v>
      </c>
      <c r="E6" s="92">
        <v>0</v>
      </c>
      <c r="F6" s="95">
        <f>SUM(G6:H6)</f>
        <v>41</v>
      </c>
      <c r="G6" s="98">
        <v>41</v>
      </c>
      <c r="H6" s="97">
        <v>0</v>
      </c>
    </row>
    <row r="7" spans="1:8">
      <c r="A7" s="61" t="s">
        <v>283</v>
      </c>
      <c r="B7" s="94" t="s">
        <v>275</v>
      </c>
      <c r="C7" s="95">
        <v>48</v>
      </c>
      <c r="D7" s="92">
        <f t="shared" ref="D7:D9" si="0">C7-E7</f>
        <v>44</v>
      </c>
      <c r="E7" s="95">
        <v>4</v>
      </c>
      <c r="F7" s="95">
        <f t="shared" ref="F7:F9" si="1">SUM(G7:H7)</f>
        <v>26</v>
      </c>
      <c r="G7" s="95">
        <v>25</v>
      </c>
      <c r="H7" s="95">
        <v>1</v>
      </c>
    </row>
    <row r="8" spans="1:8">
      <c r="A8" s="61" t="s">
        <v>282</v>
      </c>
      <c r="B8" s="94" t="s">
        <v>272</v>
      </c>
      <c r="C8" s="95">
        <v>45</v>
      </c>
      <c r="D8" s="92">
        <f t="shared" si="0"/>
        <v>42</v>
      </c>
      <c r="E8" s="95">
        <v>3</v>
      </c>
      <c r="F8" s="95">
        <f t="shared" si="1"/>
        <v>31</v>
      </c>
      <c r="G8" s="95">
        <v>30</v>
      </c>
      <c r="H8" s="95">
        <v>1</v>
      </c>
    </row>
    <row r="9" spans="1:8">
      <c r="A9" s="61" t="s">
        <v>281</v>
      </c>
      <c r="B9" s="94" t="s">
        <v>274</v>
      </c>
      <c r="C9" s="95">
        <v>50</v>
      </c>
      <c r="D9" s="92">
        <f t="shared" si="0"/>
        <v>49</v>
      </c>
      <c r="E9" s="95">
        <v>1</v>
      </c>
      <c r="F9" s="95">
        <f t="shared" si="1"/>
        <v>32</v>
      </c>
      <c r="G9" s="95">
        <v>31</v>
      </c>
      <c r="H9" s="95">
        <v>1</v>
      </c>
    </row>
    <row r="10" spans="1:8">
      <c r="B10" s="96" t="s">
        <v>280</v>
      </c>
      <c r="C10" s="93">
        <f>SUM(C6:C9)</f>
        <v>189</v>
      </c>
      <c r="D10" s="93">
        <f>SUM(D6:D9)</f>
        <v>181</v>
      </c>
      <c r="E10" s="93">
        <f>SUM(E6:E9)</f>
        <v>8</v>
      </c>
      <c r="F10" s="91">
        <f t="shared" ref="F8:F10" si="2">SUM(G10:H10)</f>
        <v>130</v>
      </c>
      <c r="G10" s="93">
        <f t="shared" ref="G10:H10" si="3">SUM(G6:G9)</f>
        <v>127</v>
      </c>
      <c r="H10" s="93">
        <f t="shared" si="3"/>
        <v>3</v>
      </c>
    </row>
    <row r="13" spans="1:8">
      <c r="F13" s="61"/>
    </row>
  </sheetData>
  <mergeCells count="3">
    <mergeCell ref="C4:E4"/>
    <mergeCell ref="F4:H4"/>
    <mergeCell ref="B4:B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TimeOut</vt:lpstr>
      <vt:lpstr>VLOOKUP</vt:lpstr>
      <vt:lpstr>TimeIn</vt:lpstr>
      <vt:lpstr>MAP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Wikian</dc:creator>
  <cp:lastModifiedBy>Schenker Singapore Pte Ltd</cp:lastModifiedBy>
  <dcterms:created xsi:type="dcterms:W3CDTF">2015-05-27T02:37:48Z</dcterms:created>
  <dcterms:modified xsi:type="dcterms:W3CDTF">2015-05-31T07:25:24Z</dcterms:modified>
</cp:coreProperties>
</file>